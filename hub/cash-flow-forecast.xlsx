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_INPUT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1">
    <font>
      <name val="Calibri"/>
      <family val="2"/>
      <color theme="1"/>
      <sz val="11"/>
      <scheme val="minor"/>
    </font>
    <font>
      <name val="Georgia"/>
      <b val="1"/>
      <color rgb="001B3A5C"/>
      <sz val="14"/>
    </font>
    <font>
      <name val="Georgia"/>
      <color rgb="00C9963B"/>
      <sz val="11"/>
    </font>
    <font>
      <name val="Calibri"/>
      <b val="1"/>
      <color rgb="001B3A5C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1"/>
    </font>
    <font>
      <name val="Georgia"/>
      <b val="1"/>
      <color rgb="001B3A5C"/>
      <sz val="16"/>
    </font>
    <font>
      <name val="Calibri"/>
      <b val="1"/>
      <sz val="11"/>
    </font>
    <font>
      <name val="Georgia"/>
      <b val="1"/>
      <color rgb="00C9963B"/>
      <sz val="11"/>
    </font>
    <font>
      <name val="Calibri"/>
      <b val="1"/>
      <color rgb="001B3A5C"/>
      <sz val="12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4">
    <border>
      <left/>
      <right/>
      <top/>
      <bottom/>
      <diagonal/>
    </border>
    <border>
      <bottom style="medium">
        <color rgb="00C9963B"/>
      </bottom>
    </border>
    <border>
      <left style="thin">
        <color rgb="00C9963B"/>
      </left>
      <right style="thin">
        <color rgb="00C9963B"/>
      </right>
      <top style="thin">
        <color rgb="00C9963B"/>
      </top>
      <bottom style="thin">
        <color rgb="00C9963B"/>
      </bottom>
    </border>
    <border>
      <top style="thin">
        <color rgb="001B3A5C"/>
      </top>
      <bottom style="double">
        <color rgb="001B3A5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1" pivotButton="0" quotePrefix="0" xfId="0"/>
    <xf numFmtId="164" fontId="6" fillId="0" borderId="2" pivotButton="0" quotePrefix="0" xfId="0"/>
    <xf numFmtId="164" fontId="8" fillId="0" borderId="3" pivotButton="0" quotePrefix="0" xfId="0"/>
    <xf numFmtId="164" fontId="8" fillId="0" borderId="0" pivotButton="0" quotePrefix="0" xfId="0"/>
    <xf numFmtId="165" fontId="0" fillId="0" borderId="0" pivotButton="0" quotePrefix="0" xfId="0"/>
    <xf numFmtId="164" fontId="3" fillId="0" borderId="3" pivotButton="0" quotePrefix="0" xfId="0"/>
    <xf numFmtId="164" fontId="10" fillId="0" borderId="0" pivotButton="0" quotePrefix="0" xfId="0"/>
    <xf numFmtId="164" fontId="10" fillId="0" borderId="3" pivotButton="0" quotePrefix="0" xfId="0"/>
    <xf numFmtId="0" fontId="8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0" fontId="5" fillId="2" borderId="0" pivotButton="0" quotePrefix="0" xfId="0"/>
  </cellXfs>
  <cellStyles count="1">
    <cellStyle name="Normal" xfId="0" builtinId="0" hidden="0"/>
  </cellStyles>
  <dxfs count="1">
    <dxf>
      <font>
        <color rgb="00E74C3C"/>
      </font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2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2">
      <c r="B2" s="1" t="inlineStr">
        <is>
          <t>INSTRUCTIONS</t>
        </is>
      </c>
    </row>
    <row r="3">
      <c r="B3" s="2" t="inlineStr">
        <is>
          <t>Alliance CFO Solutions</t>
        </is>
      </c>
    </row>
    <row r="4">
      <c r="A4" s="3" t="n"/>
      <c r="B4" s="3" t="n"/>
      <c r="C4" s="3" t="n"/>
    </row>
    <row r="5">
      <c r="B5" s="4" t="inlineStr">
        <is>
          <t>STEP 1: Export from QuickBooks Online</t>
        </is>
      </c>
    </row>
    <row r="6">
      <c r="B6" s="5" t="inlineStr">
        <is>
          <t xml:space="preserve">  • Go to Reports → Profit &amp; Loss by Month</t>
        </is>
      </c>
    </row>
    <row r="7">
      <c r="B7" s="5" t="inlineStr">
        <is>
          <t xml:space="preserve">  • Set date range: Last 12 complete months</t>
        </is>
      </c>
    </row>
    <row r="8">
      <c r="B8" s="5" t="inlineStr">
        <is>
          <t xml:space="preserve">  • Export to Excel</t>
        </is>
      </c>
    </row>
    <row r="9">
      <c r="B9" s="5" t="inlineStr"/>
    </row>
    <row r="10">
      <c r="B10" s="4" t="inlineStr">
        <is>
          <t>STEP 2: Paste data into DATA_INPUT tab</t>
        </is>
      </c>
    </row>
    <row r="11">
      <c r="B11" s="5" t="inlineStr">
        <is>
          <t xml:space="preserve">  • Column A: Account Name</t>
        </is>
      </c>
    </row>
    <row r="12">
      <c r="B12" s="5" t="inlineStr">
        <is>
          <t xml:space="preserve">  • Columns B through M: Monthly amounts (oldest month first)</t>
        </is>
      </c>
    </row>
    <row r="13">
      <c r="B13" s="5" t="inlineStr">
        <is>
          <t xml:space="preserve">  • Row 1 has headers — paste starting at Row 2</t>
        </is>
      </c>
    </row>
    <row r="14">
      <c r="B14" s="5" t="inlineStr"/>
    </row>
    <row r="15">
      <c r="B15" s="4" t="inlineStr">
        <is>
          <t>STEP 3: Review the FORECAST tab</t>
        </is>
      </c>
    </row>
    <row r="16">
      <c r="B16" s="5" t="inlineStr">
        <is>
          <t xml:space="preserve">  • Actuals will auto-populate from DATA_INPUT</t>
        </is>
      </c>
    </row>
    <row r="17">
      <c r="B17" s="5" t="inlineStr">
        <is>
          <t xml:space="preserve">  • Month 13 forecast = average of prior 3 months (override as needed)</t>
        </is>
      </c>
    </row>
    <row r="18">
      <c r="B18" s="5" t="inlineStr">
        <is>
          <t xml:space="preserve">  • Fill in ADJUSTMENTS TO CASH rows (AR, AP, debt, distributions, capex)</t>
        </is>
      </c>
    </row>
    <row r="19">
      <c r="B19" s="5" t="inlineStr">
        <is>
          <t xml:space="preserve">  • Enter Beginning Cash Balance for Month 1</t>
        </is>
      </c>
    </row>
    <row r="20">
      <c r="B20" s="5" t="inlineStr"/>
    </row>
    <row r="21">
      <c r="B21" s="4" t="inlineStr">
        <is>
          <t>STEP 4: Scenario Planning</t>
        </is>
      </c>
    </row>
    <row r="22">
      <c r="B22" s="5" t="inlineStr">
        <is>
          <t xml:space="preserve">  • Adjust Best/Base/Worst case multipliers at the bottom of FORECAST</t>
        </is>
      </c>
    </row>
    <row r="23">
      <c r="B23" s="5" t="inlineStr"/>
    </row>
    <row r="24">
      <c r="B24" s="4" t="inlineStr">
        <is>
          <t>STEP 5: Review DASHBOARD for visual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6" t="inlineStr">
        <is>
          <t>Account Name</t>
        </is>
      </c>
      <c r="B1" s="6" t="inlineStr">
        <is>
          <t>Jan</t>
        </is>
      </c>
      <c r="C1" s="6" t="inlineStr">
        <is>
          <t>Feb</t>
        </is>
      </c>
      <c r="D1" s="6" t="inlineStr">
        <is>
          <t>Mar</t>
        </is>
      </c>
      <c r="E1" s="6" t="inlineStr">
        <is>
          <t>Apr</t>
        </is>
      </c>
      <c r="F1" s="6" t="inlineStr">
        <is>
          <t>May</t>
        </is>
      </c>
      <c r="G1" s="6" t="inlineStr">
        <is>
          <t>Jun</t>
        </is>
      </c>
      <c r="H1" s="6" t="inlineStr">
        <is>
          <t>Jul</t>
        </is>
      </c>
      <c r="I1" s="6" t="inlineStr">
        <is>
          <t>Aug</t>
        </is>
      </c>
      <c r="J1" s="6" t="inlineStr">
        <is>
          <t>Sep</t>
        </is>
      </c>
      <c r="K1" s="6" t="inlineStr">
        <is>
          <t>Oct</t>
        </is>
      </c>
      <c r="L1" s="6" t="inlineStr">
        <is>
          <t>Nov</t>
        </is>
      </c>
      <c r="M1" s="6" t="inlineStr">
        <is>
          <t>Dec</t>
        </is>
      </c>
    </row>
    <row r="2">
      <c r="A2" s="7" t="inlineStr">
        <is>
          <t>Revenue - Services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7" t="inlineStr">
        <is>
          <t>Revenue - Products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7" t="inlineStr">
        <is>
          <t>Revenue - Other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7" t="inlineStr">
        <is>
          <t>COGS - Direct Labor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7" t="inlineStr">
        <is>
          <t>COGS - Materials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COGS - Other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7" t="inlineStr">
        <is>
          <t>Advertising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7" t="inlineStr">
        <is>
          <t>Bank Charges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7" t="inlineStr">
        <is>
          <t>Depreciation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7" t="inlineStr">
        <is>
          <t>Insurance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7" t="inlineStr">
        <is>
          <t>Office Supplies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7" t="inlineStr">
        <is>
          <t>Payroll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Rent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7" t="inlineStr">
        <is>
          <t>Utilities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7" t="inlineStr">
        <is>
          <t>Other Expense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7" t="inlineStr">
        <is>
          <t>Interest Income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7" t="inlineStr">
        <is>
          <t>Interest Expense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7" t="inlineStr">
        <is>
          <t>Other Income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7" t="inlineStr">
        <is>
          <t>Other Expense (non-op)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963B"/>
    <outlinePr summaryBelow="1" summaryRight="1"/>
    <pageSetUpPr/>
  </sheetPr>
  <dimension ref="A1:N5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9" t="inlineStr">
        <is>
          <t>13-MONTH ROLLING CASH FLOW FORECAST</t>
        </is>
      </c>
    </row>
    <row r="2">
      <c r="A2" s="10" t="inlineStr">
        <is>
          <t>Client:</t>
        </is>
      </c>
      <c r="B2" s="7" t="inlineStr">
        <is>
          <t>[Enter Client Name]</t>
        </is>
      </c>
      <c r="E2" s="10" t="inlineStr">
        <is>
          <t>Prepared:</t>
        </is>
      </c>
      <c r="F2" s="7" t="inlineStr">
        <is>
          <t>[Date]</t>
        </is>
      </c>
    </row>
    <row r="4" ht="20" customHeight="1">
      <c r="A4" s="6" t="inlineStr">
        <is>
          <t>Category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Month 13 Forecast</t>
        </is>
      </c>
    </row>
    <row r="5">
      <c r="A5" s="11" t="inlineStr">
        <is>
          <t>REVENUE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inlineStr">
        <is>
          <t>Revenue - Services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>
      <c r="A7" s="7" t="inlineStr">
        <is>
          <t>Revenue - Products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7" t="inlineStr">
        <is>
          <t>Revenue - Other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0" t="inlineStr">
        <is>
          <t>TOTAL REVENUE</t>
        </is>
      </c>
      <c r="B9" s="13">
        <f>SUM(B6:B8)</f>
        <v/>
      </c>
      <c r="C9" s="13">
        <f>SUM(C6:C8)</f>
        <v/>
      </c>
      <c r="D9" s="13">
        <f>SUM(D6:D8)</f>
        <v/>
      </c>
      <c r="E9" s="13">
        <f>SUM(E6:E8)</f>
        <v/>
      </c>
      <c r="F9" s="13">
        <f>SUM(F6:F8)</f>
        <v/>
      </c>
      <c r="G9" s="13">
        <f>SUM(G6:G8)</f>
        <v/>
      </c>
      <c r="H9" s="13">
        <f>SUM(H6:H8)</f>
        <v/>
      </c>
      <c r="I9" s="13">
        <f>SUM(I6:I8)</f>
        <v/>
      </c>
      <c r="J9" s="13">
        <f>SUM(J6:J8)</f>
        <v/>
      </c>
      <c r="K9" s="13">
        <f>SUM(K6:K8)</f>
        <v/>
      </c>
      <c r="L9" s="13">
        <f>SUM(L6:L8)</f>
        <v/>
      </c>
      <c r="M9" s="13">
        <f>SUM(M6:M8)</f>
        <v/>
      </c>
      <c r="N9" s="13">
        <f>SUM(N6:N8)</f>
        <v/>
      </c>
    </row>
    <row r="10"/>
    <row r="11">
      <c r="A11" s="11" t="inlineStr">
        <is>
          <t>COST OF GOODS SOLD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inlineStr">
        <is>
          <t>Direct Labor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7" t="inlineStr">
        <is>
          <t>Materials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7" t="inlineStr">
        <is>
          <t>Other COGS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0" t="inlineStr">
        <is>
          <t>TOTAL COGS</t>
        </is>
      </c>
      <c r="B15" s="14">
        <f>SUM(B12:B14)</f>
        <v/>
      </c>
      <c r="C15" s="14">
        <f>SUM(C12:C14)</f>
        <v/>
      </c>
      <c r="D15" s="14">
        <f>SUM(D12:D14)</f>
        <v/>
      </c>
      <c r="E15" s="14">
        <f>SUM(E12:E14)</f>
        <v/>
      </c>
      <c r="F15" s="14">
        <f>SUM(F12:F14)</f>
        <v/>
      </c>
      <c r="G15" s="14">
        <f>SUM(G12:G14)</f>
        <v/>
      </c>
      <c r="H15" s="14">
        <f>SUM(H12:H14)</f>
        <v/>
      </c>
      <c r="I15" s="14">
        <f>SUM(I12:I14)</f>
        <v/>
      </c>
      <c r="J15" s="14">
        <f>SUM(J12:J14)</f>
        <v/>
      </c>
      <c r="K15" s="14">
        <f>SUM(K12:K14)</f>
        <v/>
      </c>
      <c r="L15" s="14">
        <f>SUM(L12:L14)</f>
        <v/>
      </c>
      <c r="M15" s="14">
        <f>SUM(M12:M14)</f>
        <v/>
      </c>
      <c r="N15" s="14">
        <f>SUM(N12:N14)</f>
        <v/>
      </c>
    </row>
    <row r="16">
      <c r="A16" s="10" t="inlineStr">
        <is>
          <t>GROSS PROFIT</t>
        </is>
      </c>
      <c r="B16" s="13">
        <f>B9-B15</f>
        <v/>
      </c>
      <c r="C16" s="13">
        <f>C9-C15</f>
        <v/>
      </c>
      <c r="D16" s="13">
        <f>D9-D15</f>
        <v/>
      </c>
      <c r="E16" s="13">
        <f>E9-E15</f>
        <v/>
      </c>
      <c r="F16" s="13">
        <f>F9-F15</f>
        <v/>
      </c>
      <c r="G16" s="13">
        <f>G9-G15</f>
        <v/>
      </c>
      <c r="H16" s="13">
        <f>H9-H15</f>
        <v/>
      </c>
      <c r="I16" s="13">
        <f>I9-I15</f>
        <v/>
      </c>
      <c r="J16" s="13">
        <f>J9-J15</f>
        <v/>
      </c>
      <c r="K16" s="13">
        <f>K9-K15</f>
        <v/>
      </c>
      <c r="L16" s="13">
        <f>L9-L15</f>
        <v/>
      </c>
      <c r="M16" s="13">
        <f>M9-M15</f>
        <v/>
      </c>
      <c r="N16" s="13">
        <f>N9-N15</f>
        <v/>
      </c>
    </row>
    <row r="17">
      <c r="A17" s="7" t="inlineStr">
        <is>
          <t>Gross Margin %</t>
        </is>
      </c>
      <c r="B17" s="15">
        <f>IF(B9=0,0,B16/B9)</f>
        <v/>
      </c>
      <c r="C17" s="15">
        <f>IF(C9=0,0,C16/C9)</f>
        <v/>
      </c>
      <c r="D17" s="15">
        <f>IF(D9=0,0,D16/D9)</f>
        <v/>
      </c>
      <c r="E17" s="15">
        <f>IF(E9=0,0,E16/E9)</f>
        <v/>
      </c>
      <c r="F17" s="15">
        <f>IF(F9=0,0,F16/F9)</f>
        <v/>
      </c>
      <c r="G17" s="15">
        <f>IF(G9=0,0,G16/G9)</f>
        <v/>
      </c>
      <c r="H17" s="15">
        <f>IF(H9=0,0,H16/H9)</f>
        <v/>
      </c>
      <c r="I17" s="15">
        <f>IF(I9=0,0,I16/I9)</f>
        <v/>
      </c>
      <c r="J17" s="15">
        <f>IF(J9=0,0,J16/J9)</f>
        <v/>
      </c>
      <c r="K17" s="15">
        <f>IF(K9=0,0,K16/K9)</f>
        <v/>
      </c>
      <c r="L17" s="15">
        <f>IF(L9=0,0,L16/L9)</f>
        <v/>
      </c>
      <c r="M17" s="15">
        <f>IF(M9=0,0,M16/M9)</f>
        <v/>
      </c>
      <c r="N17" s="15">
        <f>IF(N9=0,0,N16/N9)</f>
        <v/>
      </c>
    </row>
    <row r="18"/>
    <row r="19">
      <c r="A19" s="11" t="inlineStr">
        <is>
          <t>OPERATING EXPENSES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inlineStr">
        <is>
          <t>Payroll &amp; Benefits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>
      <c r="A21" s="7" t="inlineStr">
        <is>
          <t>Rent/Lease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>
      <c r="A22" s="7" t="inlineStr">
        <is>
          <t>Marketing &amp; Advertising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7" t="inlineStr">
        <is>
          <t>Insurance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7" t="inlineStr">
        <is>
          <t>Office &amp; Admin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7" t="inlineStr">
        <is>
          <t>Professional Services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7" t="inlineStr">
        <is>
          <t>Technology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7" t="inlineStr">
        <is>
          <t>Travel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>
      <c r="A28" s="7" t="inlineStr">
        <is>
          <t>Depreciation/Amortization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7" t="inlineStr">
        <is>
          <t>Other Operating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0" t="inlineStr">
        <is>
          <t>TOTAL OPERATING EXPENSES</t>
        </is>
      </c>
      <c r="B30" s="14">
        <f>SUM(B20:B29)</f>
        <v/>
      </c>
      <c r="C30" s="14">
        <f>SUM(C20:C29)</f>
        <v/>
      </c>
      <c r="D30" s="14">
        <f>SUM(D20:D29)</f>
        <v/>
      </c>
      <c r="E30" s="14">
        <f>SUM(E20:E29)</f>
        <v/>
      </c>
      <c r="F30" s="14">
        <f>SUM(F20:F29)</f>
        <v/>
      </c>
      <c r="G30" s="14">
        <f>SUM(G20:G29)</f>
        <v/>
      </c>
      <c r="H30" s="14">
        <f>SUM(H20:H29)</f>
        <v/>
      </c>
      <c r="I30" s="14">
        <f>SUM(I20:I29)</f>
        <v/>
      </c>
      <c r="J30" s="14">
        <f>SUM(J20:J29)</f>
        <v/>
      </c>
      <c r="K30" s="14">
        <f>SUM(K20:K29)</f>
        <v/>
      </c>
      <c r="L30" s="14">
        <f>SUM(L20:L29)</f>
        <v/>
      </c>
      <c r="M30" s="14">
        <f>SUM(M20:M29)</f>
        <v/>
      </c>
      <c r="N30" s="14">
        <f>SUM(N20:N29)</f>
        <v/>
      </c>
    </row>
    <row r="31">
      <c r="A31" s="10" t="inlineStr">
        <is>
          <t>OPERATING INCOME</t>
        </is>
      </c>
      <c r="B31" s="14">
        <f>B16-B30</f>
        <v/>
      </c>
      <c r="C31" s="14">
        <f>C16-C30</f>
        <v/>
      </c>
      <c r="D31" s="14">
        <f>D16-D30</f>
        <v/>
      </c>
      <c r="E31" s="14">
        <f>E16-E30</f>
        <v/>
      </c>
      <c r="F31" s="14">
        <f>F16-F30</f>
        <v/>
      </c>
      <c r="G31" s="14">
        <f>G16-G30</f>
        <v/>
      </c>
      <c r="H31" s="14">
        <f>H16-H30</f>
        <v/>
      </c>
      <c r="I31" s="14">
        <f>I16-I30</f>
        <v/>
      </c>
      <c r="J31" s="14">
        <f>J16-J30</f>
        <v/>
      </c>
      <c r="K31" s="14">
        <f>K16-K30</f>
        <v/>
      </c>
      <c r="L31" s="14">
        <f>L16-L30</f>
        <v/>
      </c>
      <c r="M31" s="14">
        <f>M16-M30</f>
        <v/>
      </c>
      <c r="N31" s="14">
        <f>N16-N30</f>
        <v/>
      </c>
    </row>
    <row r="32"/>
    <row r="33">
      <c r="A33" s="11" t="inlineStr">
        <is>
          <t>OTHER INCOME / EXPENSE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inlineStr">
        <is>
          <t>Interest Income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7" t="inlineStr">
        <is>
          <t>Interest Expense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7" t="inlineStr">
        <is>
          <t>Other Income/Expense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0" t="inlineStr">
        <is>
          <t>TOTAL OTHER</t>
        </is>
      </c>
      <c r="B37" s="8">
        <f>SUM(B34:B36)</f>
        <v/>
      </c>
      <c r="C37" s="8">
        <f>SUM(C34:C36)</f>
        <v/>
      </c>
      <c r="D37" s="8">
        <f>SUM(D34:D36)</f>
        <v/>
      </c>
      <c r="E37" s="8">
        <f>SUM(E34:E36)</f>
        <v/>
      </c>
      <c r="F37" s="8">
        <f>SUM(F34:F36)</f>
        <v/>
      </c>
      <c r="G37" s="8">
        <f>SUM(G34:G36)</f>
        <v/>
      </c>
      <c r="H37" s="8">
        <f>SUM(H34:H36)</f>
        <v/>
      </c>
      <c r="I37" s="8">
        <f>SUM(I34:I36)</f>
        <v/>
      </c>
      <c r="J37" s="8">
        <f>SUM(J34:J36)</f>
        <v/>
      </c>
      <c r="K37" s="8">
        <f>SUM(K34:K36)</f>
        <v/>
      </c>
      <c r="L37" s="8">
        <f>SUM(L34:L36)</f>
        <v/>
      </c>
      <c r="M37" s="8">
        <f>SUM(M34:M36)</f>
        <v/>
      </c>
      <c r="N37" s="8">
        <f>SUM(N34:N36)</f>
        <v/>
      </c>
    </row>
    <row r="38">
      <c r="A38" s="10" t="inlineStr">
        <is>
          <t>NET INCOME</t>
        </is>
      </c>
      <c r="B38" s="16">
        <f>B31+B37</f>
        <v/>
      </c>
      <c r="C38" s="16">
        <f>C31+C37</f>
        <v/>
      </c>
      <c r="D38" s="16">
        <f>D31+D37</f>
        <v/>
      </c>
      <c r="E38" s="16">
        <f>E31+E37</f>
        <v/>
      </c>
      <c r="F38" s="16">
        <f>F31+F37</f>
        <v/>
      </c>
      <c r="G38" s="16">
        <f>G31+G37</f>
        <v/>
      </c>
      <c r="H38" s="16">
        <f>H31+H37</f>
        <v/>
      </c>
      <c r="I38" s="16">
        <f>I31+I37</f>
        <v/>
      </c>
      <c r="J38" s="16">
        <f>J31+J37</f>
        <v/>
      </c>
      <c r="K38" s="16">
        <f>K31+K37</f>
        <v/>
      </c>
      <c r="L38" s="16">
        <f>L31+L37</f>
        <v/>
      </c>
      <c r="M38" s="16">
        <f>M31+M37</f>
        <v/>
      </c>
      <c r="N38" s="16">
        <f>N31+N37</f>
        <v/>
      </c>
    </row>
    <row r="39"/>
    <row r="40">
      <c r="A40" s="11" t="inlineStr">
        <is>
          <t>ADJUSTMENTS TO CASH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inlineStr">
        <is>
          <t>Add: Depreciation/Amortization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7" t="inlineStr">
        <is>
          <t>Changes in Accounts Receivable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7" t="inlineStr">
        <is>
          <t>Changes in Accounts Payable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</row>
    <row r="44">
      <c r="A44" s="7" t="inlineStr">
        <is>
          <t>Debt Payments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7" t="inlineStr">
        <is>
          <t>Owner Distributions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7" t="inlineStr">
        <is>
          <t>Capital Expenditures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0" t="inlineStr">
        <is>
          <t>TOTAL ADJUSTMENTS</t>
        </is>
      </c>
      <c r="B47" s="8">
        <f>SUM(B41:B46)</f>
        <v/>
      </c>
      <c r="C47" s="8">
        <f>SUM(C41:C46)</f>
        <v/>
      </c>
      <c r="D47" s="8">
        <f>SUM(D41:D46)</f>
        <v/>
      </c>
      <c r="E47" s="8">
        <f>SUM(E41:E46)</f>
        <v/>
      </c>
      <c r="F47" s="8">
        <f>SUM(F41:F46)</f>
        <v/>
      </c>
      <c r="G47" s="8">
        <f>SUM(G41:G46)</f>
        <v/>
      </c>
      <c r="H47" s="8">
        <f>SUM(H41:H46)</f>
        <v/>
      </c>
      <c r="I47" s="8">
        <f>SUM(I41:I46)</f>
        <v/>
      </c>
      <c r="J47" s="8">
        <f>SUM(J41:J46)</f>
        <v/>
      </c>
      <c r="K47" s="8">
        <f>SUM(K41:K46)</f>
        <v/>
      </c>
      <c r="L47" s="8">
        <f>SUM(L41:L46)</f>
        <v/>
      </c>
      <c r="M47" s="8">
        <f>SUM(M41:M46)</f>
        <v/>
      </c>
      <c r="N47" s="8">
        <f>SUM(N41:N46)</f>
        <v/>
      </c>
    </row>
    <row r="48"/>
    <row r="49">
      <c r="A49" s="10" t="inlineStr">
        <is>
          <t>NET CASH FLOW</t>
        </is>
      </c>
      <c r="B49" s="17">
        <f>B38+B47</f>
        <v/>
      </c>
      <c r="C49" s="17">
        <f>C38+C47</f>
        <v/>
      </c>
      <c r="D49" s="17">
        <f>D38+D47</f>
        <v/>
      </c>
      <c r="E49" s="17">
        <f>E38+E47</f>
        <v/>
      </c>
      <c r="F49" s="17">
        <f>F38+F47</f>
        <v/>
      </c>
      <c r="G49" s="17">
        <f>G38+G47</f>
        <v/>
      </c>
      <c r="H49" s="17">
        <f>H38+H47</f>
        <v/>
      </c>
      <c r="I49" s="17">
        <f>I38+I47</f>
        <v/>
      </c>
      <c r="J49" s="17">
        <f>J38+J47</f>
        <v/>
      </c>
      <c r="K49" s="17">
        <f>K38+K47</f>
        <v/>
      </c>
      <c r="L49" s="17">
        <f>L38+L47</f>
        <v/>
      </c>
      <c r="M49" s="17">
        <f>M38+M47</f>
        <v/>
      </c>
      <c r="N49" s="17">
        <f>N38+N47</f>
        <v/>
      </c>
    </row>
    <row r="50">
      <c r="A50" s="10" t="inlineStr">
        <is>
          <t>BEGINNING CASH BALANCE</t>
        </is>
      </c>
      <c r="B50" s="8" t="n"/>
      <c r="C50" s="8">
        <f>B51</f>
        <v/>
      </c>
      <c r="D50" s="8">
        <f>C51</f>
        <v/>
      </c>
      <c r="E50" s="8">
        <f>D51</f>
        <v/>
      </c>
      <c r="F50" s="8">
        <f>E51</f>
        <v/>
      </c>
      <c r="G50" s="8">
        <f>F51</f>
        <v/>
      </c>
      <c r="H50" s="8">
        <f>G51</f>
        <v/>
      </c>
      <c r="I50" s="8">
        <f>H51</f>
        <v/>
      </c>
      <c r="J50" s="8">
        <f>I51</f>
        <v/>
      </c>
      <c r="K50" s="8">
        <f>J51</f>
        <v/>
      </c>
      <c r="L50" s="8">
        <f>K51</f>
        <v/>
      </c>
      <c r="M50" s="8">
        <f>L51</f>
        <v/>
      </c>
      <c r="N50" s="8">
        <f>M51</f>
        <v/>
      </c>
    </row>
    <row r="51">
      <c r="A51" s="10" t="inlineStr">
        <is>
          <t>ENDING CASH BALANCE</t>
        </is>
      </c>
      <c r="B51" s="18">
        <f>B50+B49</f>
        <v/>
      </c>
      <c r="C51" s="18">
        <f>C50+C49</f>
        <v/>
      </c>
      <c r="D51" s="18">
        <f>D50+D49</f>
        <v/>
      </c>
      <c r="E51" s="18">
        <f>E50+E49</f>
        <v/>
      </c>
      <c r="F51" s="18">
        <f>F50+F49</f>
        <v/>
      </c>
      <c r="G51" s="18">
        <f>G50+G49</f>
        <v/>
      </c>
      <c r="H51" s="18">
        <f>H50+H49</f>
        <v/>
      </c>
      <c r="I51" s="18">
        <f>I50+I49</f>
        <v/>
      </c>
      <c r="J51" s="18">
        <f>J50+J49</f>
        <v/>
      </c>
      <c r="K51" s="18">
        <f>K50+K49</f>
        <v/>
      </c>
      <c r="L51" s="18">
        <f>L50+L49</f>
        <v/>
      </c>
      <c r="M51" s="18">
        <f>M50+M49</f>
        <v/>
      </c>
      <c r="N51" s="18">
        <f>N50+N49</f>
        <v/>
      </c>
    </row>
    <row r="54">
      <c r="A54" s="11" t="inlineStr">
        <is>
          <t>SCENARIO ANALYSIS</t>
        </is>
      </c>
      <c r="B54" s="3" t="n"/>
      <c r="C54" s="3" t="n"/>
      <c r="D54" s="3" t="n"/>
      <c r="E54" s="3" t="n"/>
    </row>
    <row r="55" ht="20" customHeight="1">
      <c r="A55" s="6" t="inlineStr">
        <is>
          <t>Scenario</t>
        </is>
      </c>
      <c r="B55" s="6" t="inlineStr">
        <is>
          <t>Multiplier</t>
        </is>
      </c>
      <c r="C55" s="6" t="inlineStr">
        <is>
          <t>Adjusted Net Cash Flow</t>
        </is>
      </c>
      <c r="D55" s="6" t="inlineStr">
        <is>
          <t>Adjusted Ending Cash</t>
        </is>
      </c>
      <c r="E55" t="inlineStr"/>
    </row>
    <row r="56">
      <c r="A56" s="19" t="inlineStr">
        <is>
          <t>Best Case</t>
        </is>
      </c>
      <c r="B56" s="20" t="n">
        <v>1.1</v>
      </c>
      <c r="C56" s="21">
        <f>N49*B56</f>
        <v/>
      </c>
      <c r="D56" s="21">
        <f>N50+C56</f>
        <v/>
      </c>
    </row>
    <row r="57">
      <c r="A57" s="19" t="inlineStr">
        <is>
          <t>Base Case</t>
        </is>
      </c>
      <c r="B57" s="20" t="n">
        <v>1</v>
      </c>
      <c r="C57" s="21">
        <f>N49*B57</f>
        <v/>
      </c>
      <c r="D57" s="21">
        <f>N50+C57</f>
        <v/>
      </c>
    </row>
    <row r="58">
      <c r="A58" s="19" t="inlineStr">
        <is>
          <t>Worst Case</t>
        </is>
      </c>
      <c r="B58" s="20" t="n">
        <v>0.85</v>
      </c>
      <c r="C58" s="21">
        <f>N49*B58</f>
        <v/>
      </c>
      <c r="D58" s="21">
        <f>N50+C58</f>
        <v/>
      </c>
    </row>
  </sheetData>
  <mergeCells count="1">
    <mergeCell ref="A1:N1"/>
  </mergeCells>
  <conditionalFormatting sqref="B51">
    <cfRule type="cellIs" priority="1" operator="lessThan" dxfId="0">
      <formula>0</formula>
    </cfRule>
  </conditionalFormatting>
  <conditionalFormatting sqref="C51">
    <cfRule type="cellIs" priority="2" operator="lessThan" dxfId="0">
      <formula>0</formula>
    </cfRule>
  </conditionalFormatting>
  <conditionalFormatting sqref="D51">
    <cfRule type="cellIs" priority="3" operator="lessThan" dxfId="0">
      <formula>0</formula>
    </cfRule>
  </conditionalFormatting>
  <conditionalFormatting sqref="E51">
    <cfRule type="cellIs" priority="4" operator="lessThan" dxfId="0">
      <formula>0</formula>
    </cfRule>
  </conditionalFormatting>
  <conditionalFormatting sqref="F51">
    <cfRule type="cellIs" priority="5" operator="lessThan" dxfId="0">
      <formula>0</formula>
    </cfRule>
  </conditionalFormatting>
  <conditionalFormatting sqref="G51">
    <cfRule type="cellIs" priority="6" operator="lessThan" dxfId="0">
      <formula>0</formula>
    </cfRule>
  </conditionalFormatting>
  <conditionalFormatting sqref="H51">
    <cfRule type="cellIs" priority="7" operator="lessThan" dxfId="0">
      <formula>0</formula>
    </cfRule>
  </conditionalFormatting>
  <conditionalFormatting sqref="I51">
    <cfRule type="cellIs" priority="8" operator="lessThan" dxfId="0">
      <formula>0</formula>
    </cfRule>
  </conditionalFormatting>
  <conditionalFormatting sqref="J51">
    <cfRule type="cellIs" priority="9" operator="lessThan" dxfId="0">
      <formula>0</formula>
    </cfRule>
  </conditionalFormatting>
  <conditionalFormatting sqref="K51">
    <cfRule type="cellIs" priority="10" operator="lessThan" dxfId="0">
      <formula>0</formula>
    </cfRule>
  </conditionalFormatting>
  <conditionalFormatting sqref="L51">
    <cfRule type="cellIs" priority="11" operator="lessThan" dxfId="0">
      <formula>0</formula>
    </cfRule>
  </conditionalFormatting>
  <conditionalFormatting sqref="M51">
    <cfRule type="cellIs" priority="12" operator="lessThan" dxfId="0">
      <formula>0</formula>
    </cfRule>
  </conditionalFormatting>
  <conditionalFormatting sqref="N51">
    <cfRule type="cellIs" priority="13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963B"/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9" t="inlineStr">
        <is>
          <t>CASH FLOW DASHBOARD</t>
        </is>
      </c>
    </row>
    <row r="3">
      <c r="A3" s="10" t="inlineStr">
        <is>
          <t>Month</t>
        </is>
      </c>
      <c r="B3" s="22" t="inlineStr">
        <is>
          <t>Jan</t>
        </is>
      </c>
      <c r="C3" s="22" t="inlineStr">
        <is>
          <t>Feb</t>
        </is>
      </c>
      <c r="D3" s="22" t="inlineStr">
        <is>
          <t>Mar</t>
        </is>
      </c>
      <c r="E3" s="22" t="inlineStr">
        <is>
          <t>Apr</t>
        </is>
      </c>
      <c r="F3" s="22" t="inlineStr">
        <is>
          <t>May</t>
        </is>
      </c>
      <c r="G3" s="22" t="inlineStr">
        <is>
          <t>Jun</t>
        </is>
      </c>
      <c r="H3" s="22" t="inlineStr">
        <is>
          <t>Jul</t>
        </is>
      </c>
      <c r="I3" s="22" t="inlineStr">
        <is>
          <t>Aug</t>
        </is>
      </c>
      <c r="J3" s="22" t="inlineStr">
        <is>
          <t>Sep</t>
        </is>
      </c>
      <c r="K3" s="22" t="inlineStr">
        <is>
          <t>Oct</t>
        </is>
      </c>
      <c r="L3" s="22" t="inlineStr">
        <is>
          <t>Nov</t>
        </is>
      </c>
      <c r="M3" s="22" t="inlineStr">
        <is>
          <t>Dec</t>
        </is>
      </c>
      <c r="N3" s="22" t="inlineStr">
        <is>
          <t>Forecast</t>
        </is>
      </c>
    </row>
    <row r="4">
      <c r="A4" s="10" t="inlineStr">
        <is>
          <t>Ending Cash Balance</t>
        </is>
      </c>
      <c r="B4" s="8">
        <f>FORECAST!B51</f>
        <v/>
      </c>
      <c r="C4" s="8">
        <f>FORECAST!C51</f>
        <v/>
      </c>
      <c r="D4" s="8">
        <f>FORECAST!D51</f>
        <v/>
      </c>
      <c r="E4" s="8">
        <f>FORECAST!E51</f>
        <v/>
      </c>
      <c r="F4" s="8">
        <f>FORECAST!F51</f>
        <v/>
      </c>
      <c r="G4" s="8">
        <f>FORECAST!G51</f>
        <v/>
      </c>
      <c r="H4" s="8">
        <f>FORECAST!H51</f>
        <v/>
      </c>
      <c r="I4" s="8">
        <f>FORECAST!I51</f>
        <v/>
      </c>
      <c r="J4" s="8">
        <f>FORECAST!J51</f>
        <v/>
      </c>
      <c r="K4" s="8">
        <f>FORECAST!K51</f>
        <v/>
      </c>
      <c r="L4" s="8">
        <f>FORECAST!L51</f>
        <v/>
      </c>
      <c r="M4" s="8">
        <f>FORECAST!M51</f>
        <v/>
      </c>
      <c r="N4" s="8">
        <f>FORECAST!N51</f>
        <v/>
      </c>
    </row>
    <row r="5">
      <c r="A5" s="10" t="inlineStr">
        <is>
          <t>Net Cash Flow</t>
        </is>
      </c>
      <c r="B5" s="8">
        <f>FORECAST!B49</f>
        <v/>
      </c>
      <c r="C5" s="8">
        <f>FORECAST!C49</f>
        <v/>
      </c>
      <c r="D5" s="8">
        <f>FORECAST!D49</f>
        <v/>
      </c>
      <c r="E5" s="8">
        <f>FORECAST!E49</f>
        <v/>
      </c>
      <c r="F5" s="8">
        <f>FORECAST!F49</f>
        <v/>
      </c>
      <c r="G5" s="8">
        <f>FORECAST!G49</f>
        <v/>
      </c>
      <c r="H5" s="8">
        <f>FORECAST!H49</f>
        <v/>
      </c>
      <c r="I5" s="8">
        <f>FORECAST!I49</f>
        <v/>
      </c>
      <c r="J5" s="8">
        <f>FORECAST!J49</f>
        <v/>
      </c>
      <c r="K5" s="8">
        <f>FORECAST!K49</f>
        <v/>
      </c>
      <c r="L5" s="8">
        <f>FORECAST!L49</f>
        <v/>
      </c>
      <c r="M5" s="8">
        <f>FORECAST!M49</f>
        <v/>
      </c>
      <c r="N5" s="8">
        <f>FORECAST!N49</f>
        <v/>
      </c>
    </row>
    <row r="8">
      <c r="A8" s="11" t="inlineStr">
        <is>
          <t>KEY METRICS</t>
        </is>
      </c>
      <c r="B8" s="3" t="n"/>
      <c r="C8" s="3" t="n"/>
    </row>
    <row r="9">
      <c r="A9" s="19" t="inlineStr">
        <is>
          <t>Avg Monthly Cash Flow</t>
        </is>
      </c>
      <c r="B9" s="21">
        <f>AVERAGE(B5:M5)</f>
        <v/>
      </c>
    </row>
    <row r="10">
      <c r="A10" s="19" t="inlineStr">
        <is>
          <t>Burn Rate (if negative)</t>
        </is>
      </c>
      <c r="B10" s="21">
        <f>IF(AVERAGE(B5:M5)&lt;0,AVERAGE(B5:M5),0)</f>
        <v/>
      </c>
    </row>
    <row r="11">
      <c r="A11" s="19" t="inlineStr">
        <is>
          <t>Months of Runway</t>
        </is>
      </c>
      <c r="B11" s="21">
        <f>IF(B10=0,"N/A",N4/ABS(B10))</f>
        <v/>
      </c>
    </row>
    <row r="12">
      <c r="A12" s="19" t="inlineStr">
        <is>
          <t>Current Cash Position</t>
        </is>
      </c>
      <c r="B12" s="21">
        <f>N4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2026-03-12T20:07:49Z</dcterms:created>
  <dcterms:modified xmlns:dcterms="http://purl.org/dc/terms/" xmlns:xsi="http://www.w3.org/2001/XMLSchema-instance" xsi:type="dcterms:W3CDTF">2026-03-12T20:07:49Z</dcterms:modified>
</cp:coreProperties>
</file>