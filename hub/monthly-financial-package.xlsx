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_INPUT_PL" sheetId="2" state="visible" r:id="rId2"/>
    <sheet xmlns:r="http://schemas.openxmlformats.org/officeDocument/2006/relationships" name="DATA_INPUT_BS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PL_ANALYSIS" sheetId="5" state="visible" r:id="rId5"/>
    <sheet xmlns:r="http://schemas.openxmlformats.org/officeDocument/2006/relationships" name="BS_ANALYSIS" sheetId="6" state="visible" r:id="rId6"/>
    <sheet xmlns:r="http://schemas.openxmlformats.org/officeDocument/2006/relationships" name="KPI_SCORE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Georgia"/>
      <b val="1"/>
      <color rgb="001B3A5C"/>
      <sz val="14"/>
    </font>
    <font>
      <name val="Georgia"/>
      <color rgb="00C9963B"/>
      <sz val="11"/>
    </font>
    <font>
      <name val="Calibri"/>
      <b val="1"/>
      <color rgb="001B3A5C"/>
      <sz val="11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sz val="11"/>
    </font>
    <font>
      <name val="Georgia"/>
      <b val="1"/>
      <color rgb="001B3A5C"/>
      <sz val="16"/>
    </font>
    <font>
      <name val="Calibri"/>
      <b val="1"/>
      <sz val="11"/>
    </font>
    <font>
      <name val="Georgia"/>
      <b val="1"/>
      <color rgb="00C9963B"/>
      <sz val="11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3">
    <border>
      <left/>
      <right/>
      <top/>
      <bottom/>
      <diagonal/>
    </border>
    <border>
      <bottom style="medium">
        <color rgb="00C9963B"/>
      </bottom>
    </border>
    <border>
      <left style="thin">
        <color rgb="00C9963B"/>
      </left>
      <right style="thin">
        <color rgb="00C9963B"/>
      </right>
      <top style="thin">
        <color rgb="00C9963B"/>
      </top>
      <bottom style="thin">
        <color rgb="00C9963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0" pivotButton="0" quotePrefix="0" xfId="0"/>
    <xf numFmtId="164" fontId="0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164" fontId="0" fillId="0" borderId="2" pivotButton="0" quotePrefix="0" xfId="0"/>
    <xf numFmtId="165" fontId="0" fillId="0" borderId="2" pivotButton="0" quotePrefix="0" xfId="0"/>
    <xf numFmtId="0" fontId="9" fillId="0" borderId="1" pivotButton="0" quotePrefix="0" xfId="0"/>
    <xf numFmtId="0" fontId="8" fillId="0" borderId="2" pivotButton="0" quotePrefix="0" xfId="0"/>
    <xf numFmtId="0" fontId="0" fillId="0" borderId="2" pivotButton="0" quotePrefix="0" xfId="0"/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3" fontId="0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2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</cols>
  <sheetData>
    <row r="2">
      <c r="B2" s="1" t="inlineStr">
        <is>
          <t>INSTRUCTIONS</t>
        </is>
      </c>
    </row>
    <row r="3">
      <c r="B3" s="2" t="inlineStr">
        <is>
          <t>Alliance CFO Solutions</t>
        </is>
      </c>
    </row>
    <row r="4">
      <c r="A4" s="3" t="n"/>
      <c r="B4" s="3" t="n"/>
      <c r="C4" s="3" t="n"/>
    </row>
    <row r="5">
      <c r="B5" s="4" t="inlineStr">
        <is>
          <t>STEP 1: Export from QuickBooks Online</t>
        </is>
      </c>
    </row>
    <row r="6">
      <c r="B6" s="5" t="inlineStr">
        <is>
          <t xml:space="preserve">  • Profit &amp; Loss by Month: Current Month, Prior Month, Prior Year Same Month, YTD Current, YTD Prior Year</t>
        </is>
      </c>
    </row>
    <row r="7">
      <c r="B7" s="5" t="inlineStr">
        <is>
          <t xml:space="preserve">  • Balance Sheet: Current Month and Prior Month</t>
        </is>
      </c>
    </row>
    <row r="8">
      <c r="B8" s="5" t="inlineStr"/>
    </row>
    <row r="9">
      <c r="B9" s="4" t="inlineStr">
        <is>
          <t>STEP 2: Paste P&amp;L data into DATA_INPUT_PL tab</t>
        </is>
      </c>
    </row>
    <row r="10">
      <c r="B10" s="5" t="inlineStr">
        <is>
          <t xml:space="preserve">  • Column A: Account Name</t>
        </is>
      </c>
    </row>
    <row r="11">
      <c r="B11" s="5" t="inlineStr">
        <is>
          <t xml:space="preserve">  • Column B: Current Month | C: Prior Month | D: Prior Year Same Month | E: YTD Current | F: YTD Prior Year</t>
        </is>
      </c>
    </row>
    <row r="12">
      <c r="B12" s="5" t="inlineStr"/>
    </row>
    <row r="13">
      <c r="B13" s="4" t="inlineStr">
        <is>
          <t>STEP 3: Paste Balance Sheet data into DATA_INPUT_BS tab</t>
        </is>
      </c>
    </row>
    <row r="14">
      <c r="B14" s="5" t="inlineStr">
        <is>
          <t xml:space="preserve">  • Column A: Account Name | B: Current Month | C: Prior Month</t>
        </is>
      </c>
    </row>
    <row r="15">
      <c r="B15" s="5" t="inlineStr"/>
    </row>
    <row r="16">
      <c r="B16" s="4" t="inlineStr">
        <is>
          <t>STEP 4: Review EXECUTIVE_SUMMARY, PL_ANALYSIS, BS_ANALYSIS, KPI_SCORECARD tabs</t>
        </is>
      </c>
    </row>
    <row r="17">
      <c r="B17" s="5" t="inlineStr">
        <is>
          <t xml:space="preserve">  • Fill in Key Observations and Action Items in EXECUTIVE_SUMMARY</t>
        </is>
      </c>
    </row>
    <row r="18">
      <c r="B18" s="5" t="inlineStr">
        <is>
          <t xml:space="preserve">  • Enter Budget figures in PL_ANALYSIS column I</t>
        </is>
      </c>
    </row>
    <row r="19">
      <c r="B19" s="5" t="inlineStr">
        <is>
          <t xml:space="preserve">  • Enter KPI Targets in KPI_SCORECARD column 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</cols>
  <sheetData>
    <row r="1" ht="20" customHeight="1">
      <c r="A1" s="6" t="inlineStr">
        <is>
          <t>Account Name</t>
        </is>
      </c>
      <c r="B1" s="6" t="inlineStr">
        <is>
          <t>Current Month</t>
        </is>
      </c>
      <c r="C1" s="6" t="inlineStr">
        <is>
          <t>Prior Month</t>
        </is>
      </c>
      <c r="D1" s="6" t="inlineStr">
        <is>
          <t>Prior Year Same Month</t>
        </is>
      </c>
      <c r="E1" s="6" t="inlineStr">
        <is>
          <t>YTD Current</t>
        </is>
      </c>
      <c r="F1" s="6" t="inlineStr">
        <is>
          <t>YTD Prior Year</t>
        </is>
      </c>
    </row>
    <row r="2">
      <c r="A2" s="7" t="inlineStr">
        <is>
          <t>Revenue</t>
        </is>
      </c>
      <c r="B2" s="8" t="n"/>
      <c r="C2" s="8" t="n"/>
      <c r="D2" s="8" t="n"/>
      <c r="E2" s="8" t="n"/>
      <c r="F2" s="8" t="n"/>
    </row>
    <row r="3">
      <c r="A3" s="7" t="inlineStr">
        <is>
          <t>Cost of Goods Sold</t>
        </is>
      </c>
      <c r="B3" s="8" t="n"/>
      <c r="C3" s="8" t="n"/>
      <c r="D3" s="8" t="n"/>
      <c r="E3" s="8" t="n"/>
      <c r="F3" s="8" t="n"/>
    </row>
    <row r="4">
      <c r="A4" s="7" t="inlineStr">
        <is>
          <t>Gross Profit</t>
        </is>
      </c>
      <c r="B4" s="8" t="n"/>
      <c r="C4" s="8" t="n"/>
      <c r="D4" s="8" t="n"/>
      <c r="E4" s="8" t="n"/>
      <c r="F4" s="8" t="n"/>
    </row>
    <row r="5">
      <c r="A5" s="7" t="inlineStr">
        <is>
          <t>Payroll</t>
        </is>
      </c>
      <c r="B5" s="8" t="n"/>
      <c r="C5" s="8" t="n"/>
      <c r="D5" s="8" t="n"/>
      <c r="E5" s="8" t="n"/>
      <c r="F5" s="8" t="n"/>
    </row>
    <row r="6">
      <c r="A6" s="7" t="inlineStr">
        <is>
          <t>Rent</t>
        </is>
      </c>
      <c r="B6" s="8" t="n"/>
      <c r="C6" s="8" t="n"/>
      <c r="D6" s="8" t="n"/>
      <c r="E6" s="8" t="n"/>
      <c r="F6" s="8" t="n"/>
    </row>
    <row r="7">
      <c r="A7" s="7" t="inlineStr">
        <is>
          <t>Marketing</t>
        </is>
      </c>
      <c r="B7" s="8" t="n"/>
      <c r="C7" s="8" t="n"/>
      <c r="D7" s="8" t="n"/>
      <c r="E7" s="8" t="n"/>
      <c r="F7" s="8" t="n"/>
    </row>
    <row r="8">
      <c r="A8" s="7" t="inlineStr">
        <is>
          <t>Insurance</t>
        </is>
      </c>
      <c r="B8" s="8" t="n"/>
      <c r="C8" s="8" t="n"/>
      <c r="D8" s="8" t="n"/>
      <c r="E8" s="8" t="n"/>
      <c r="F8" s="8" t="n"/>
    </row>
    <row r="9">
      <c r="A9" s="7" t="inlineStr">
        <is>
          <t>Depreciation</t>
        </is>
      </c>
      <c r="B9" s="8" t="n"/>
      <c r="C9" s="8" t="n"/>
      <c r="D9" s="8" t="n"/>
      <c r="E9" s="8" t="n"/>
      <c r="F9" s="8" t="n"/>
    </row>
    <row r="10">
      <c r="A10" s="7" t="inlineStr">
        <is>
          <t>Other Operating</t>
        </is>
      </c>
      <c r="B10" s="8" t="n"/>
      <c r="C10" s="8" t="n"/>
      <c r="D10" s="8" t="n"/>
      <c r="E10" s="8" t="n"/>
      <c r="F10" s="8" t="n"/>
    </row>
    <row r="11">
      <c r="A11" s="7" t="inlineStr">
        <is>
          <t>Total Operating Expenses</t>
        </is>
      </c>
      <c r="B11" s="8" t="n"/>
      <c r="C11" s="8" t="n"/>
      <c r="D11" s="8" t="n"/>
      <c r="E11" s="8" t="n"/>
      <c r="F11" s="8" t="n"/>
    </row>
    <row r="12">
      <c r="A12" s="7" t="inlineStr">
        <is>
          <t>Operating Income</t>
        </is>
      </c>
      <c r="B12" s="8" t="n"/>
      <c r="C12" s="8" t="n"/>
      <c r="D12" s="8" t="n"/>
      <c r="E12" s="8" t="n"/>
      <c r="F12" s="8" t="n"/>
    </row>
    <row r="13">
      <c r="A13" s="7" t="inlineStr">
        <is>
          <t>Interest Expense</t>
        </is>
      </c>
      <c r="B13" s="8" t="n"/>
      <c r="C13" s="8" t="n"/>
      <c r="D13" s="8" t="n"/>
      <c r="E13" s="8" t="n"/>
      <c r="F13" s="8" t="n"/>
    </row>
    <row r="14">
      <c r="A14" s="7" t="inlineStr">
        <is>
          <t>Other Income</t>
        </is>
      </c>
      <c r="B14" s="8" t="n"/>
      <c r="C14" s="8" t="n"/>
      <c r="D14" s="8" t="n"/>
      <c r="E14" s="8" t="n"/>
      <c r="F14" s="8" t="n"/>
    </row>
    <row r="15">
      <c r="A15" s="7" t="inlineStr">
        <is>
          <t>Net Income</t>
        </is>
      </c>
      <c r="B15" s="8" t="n"/>
      <c r="C15" s="8" t="n"/>
      <c r="D15" s="8" t="n"/>
      <c r="E15" s="8" t="n"/>
      <c r="F15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3A5C"/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 ht="20" customHeight="1">
      <c r="A1" s="6" t="inlineStr">
        <is>
          <t>Account Name</t>
        </is>
      </c>
      <c r="B1" s="6" t="inlineStr">
        <is>
          <t>Current Month</t>
        </is>
      </c>
      <c r="C1" s="6" t="inlineStr">
        <is>
          <t>Prior Month</t>
        </is>
      </c>
    </row>
    <row r="2">
      <c r="A2" s="7" t="inlineStr">
        <is>
          <t>Cash &amp; Equivalents</t>
        </is>
      </c>
      <c r="B2" s="8" t="n"/>
      <c r="C2" s="8" t="n"/>
    </row>
    <row r="3">
      <c r="A3" s="7" t="inlineStr">
        <is>
          <t>Accounts Receivable</t>
        </is>
      </c>
      <c r="B3" s="8" t="n"/>
      <c r="C3" s="8" t="n"/>
    </row>
    <row r="4">
      <c r="A4" s="7" t="inlineStr">
        <is>
          <t>Other Current Assets</t>
        </is>
      </c>
      <c r="B4" s="8" t="n"/>
      <c r="C4" s="8" t="n"/>
    </row>
    <row r="5">
      <c r="A5" s="7" t="inlineStr">
        <is>
          <t>Total Current Assets</t>
        </is>
      </c>
      <c r="B5" s="8" t="n"/>
      <c r="C5" s="8" t="n"/>
    </row>
    <row r="6">
      <c r="A6" s="7" t="inlineStr">
        <is>
          <t>Fixed Assets (net)</t>
        </is>
      </c>
      <c r="B6" s="8" t="n"/>
      <c r="C6" s="8" t="n"/>
    </row>
    <row r="7">
      <c r="A7" s="7" t="inlineStr">
        <is>
          <t>Total Assets</t>
        </is>
      </c>
      <c r="B7" s="8" t="n"/>
      <c r="C7" s="8" t="n"/>
    </row>
    <row r="8">
      <c r="A8" s="7" t="inlineStr">
        <is>
          <t>Accounts Payable</t>
        </is>
      </c>
      <c r="B8" s="8" t="n"/>
      <c r="C8" s="8" t="n"/>
    </row>
    <row r="9">
      <c r="A9" s="7" t="inlineStr">
        <is>
          <t>Credit Cards</t>
        </is>
      </c>
      <c r="B9" s="8" t="n"/>
      <c r="C9" s="8" t="n"/>
    </row>
    <row r="10">
      <c r="A10" s="7" t="inlineStr">
        <is>
          <t>Other Current Liabilities</t>
        </is>
      </c>
      <c r="B10" s="8" t="n"/>
      <c r="C10" s="8" t="n"/>
    </row>
    <row r="11">
      <c r="A11" s="7" t="inlineStr">
        <is>
          <t>Total Current Liabilities</t>
        </is>
      </c>
      <c r="B11" s="8" t="n"/>
      <c r="C11" s="8" t="n"/>
    </row>
    <row r="12">
      <c r="A12" s="7" t="inlineStr">
        <is>
          <t>Long-Term Debt</t>
        </is>
      </c>
      <c r="B12" s="8" t="n"/>
      <c r="C12" s="8" t="n"/>
    </row>
    <row r="13">
      <c r="A13" s="7" t="inlineStr">
        <is>
          <t>Total Liabilities</t>
        </is>
      </c>
      <c r="B13" s="8" t="n"/>
      <c r="C13" s="8" t="n"/>
    </row>
    <row r="14">
      <c r="A14" s="7" t="inlineStr">
        <is>
          <t>Owner's Equity</t>
        </is>
      </c>
      <c r="B14" s="8" t="n"/>
      <c r="C14" s="8" t="n"/>
    </row>
    <row r="15">
      <c r="A15" s="7" t="inlineStr">
        <is>
          <t>Retained Earnings</t>
        </is>
      </c>
      <c r="B15" s="8" t="n"/>
      <c r="C15" s="8" t="n"/>
    </row>
    <row r="16">
      <c r="A16" s="7" t="inlineStr">
        <is>
          <t>Total Equity</t>
        </is>
      </c>
      <c r="B16" s="8" t="n"/>
      <c r="C16" s="8" t="n"/>
    </row>
    <row r="17">
      <c r="A17" s="7" t="inlineStr">
        <is>
          <t>Total Liab + Equity</t>
        </is>
      </c>
      <c r="B17" s="8" t="n"/>
      <c r="C17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963B"/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1">
      <c r="A1" s="9" t="inlineStr">
        <is>
          <t>EXECUTIVE FINANCIAL SUMMARY</t>
        </is>
      </c>
    </row>
    <row r="2">
      <c r="A2" s="10" t="inlineStr">
        <is>
          <t>Client:</t>
        </is>
      </c>
      <c r="B2" s="7" t="inlineStr">
        <is>
          <t>[Client Name]</t>
        </is>
      </c>
      <c r="C2" s="10" t="inlineStr">
        <is>
          <t>Period:</t>
        </is>
      </c>
      <c r="D2" s="7" t="inlineStr">
        <is>
          <t>[Month Year]</t>
        </is>
      </c>
      <c r="E2" s="10" t="inlineStr">
        <is>
          <t>Prepared by:</t>
        </is>
      </c>
      <c r="F2" s="7" t="inlineStr">
        <is>
          <t>Alliance CFO Solutions</t>
        </is>
      </c>
    </row>
    <row r="4" ht="20" customHeight="1">
      <c r="A4" s="6" t="inlineStr">
        <is>
          <t>Metric</t>
        </is>
      </c>
      <c r="B4" s="6" t="inlineStr">
        <is>
          <t>Current Month</t>
        </is>
      </c>
      <c r="C4" s="6" t="inlineStr">
        <is>
          <t>Prior Month</t>
        </is>
      </c>
      <c r="D4" s="6" t="inlineStr">
        <is>
          <t>Prior Year</t>
        </is>
      </c>
      <c r="E4" s="6" t="inlineStr">
        <is>
          <t>$ Change (MoM)</t>
        </is>
      </c>
      <c r="F4" s="6" t="inlineStr">
        <is>
          <t>% Change (MoM)</t>
        </is>
      </c>
    </row>
    <row r="5">
      <c r="A5" s="10" t="inlineStr">
        <is>
          <t>Revenue</t>
        </is>
      </c>
      <c r="B5" s="11" t="n"/>
      <c r="C5" s="11" t="n"/>
      <c r="D5" s="11" t="n"/>
      <c r="E5" s="11">
        <f>B5-C5</f>
        <v/>
      </c>
      <c r="F5" s="12">
        <f>IF(C5=0,0,(B5-C5)/ABS(C5))</f>
        <v/>
      </c>
    </row>
    <row r="6">
      <c r="A6" s="10" t="inlineStr">
        <is>
          <t>Gross Margin</t>
        </is>
      </c>
      <c r="B6" s="11" t="n"/>
      <c r="C6" s="11" t="n"/>
      <c r="D6" s="11" t="n"/>
      <c r="E6" s="11">
        <f>B6-C6</f>
        <v/>
      </c>
      <c r="F6" s="12">
        <f>IF(C6=0,0,(B6-C6)/ABS(C6))</f>
        <v/>
      </c>
    </row>
    <row r="7">
      <c r="A7" s="10" t="inlineStr">
        <is>
          <t>Net Income</t>
        </is>
      </c>
      <c r="B7" s="11" t="n"/>
      <c r="C7" s="11" t="n"/>
      <c r="D7" s="11" t="n"/>
      <c r="E7" s="11">
        <f>B7-C7</f>
        <v/>
      </c>
      <c r="F7" s="12">
        <f>IF(C7=0,0,(B7-C7)/ABS(C7))</f>
        <v/>
      </c>
    </row>
    <row r="8">
      <c r="A8" s="10" t="inlineStr">
        <is>
          <t>Cash Position</t>
        </is>
      </c>
      <c r="B8" s="11" t="n"/>
      <c r="C8" s="11" t="n"/>
      <c r="D8" s="11" t="n"/>
      <c r="E8" s="11">
        <f>B8-C8</f>
        <v/>
      </c>
      <c r="F8" s="12">
        <f>IF(C8=0,0,(B8-C8)/ABS(C8))</f>
        <v/>
      </c>
    </row>
    <row r="9">
      <c r="A9" s="10" t="inlineStr">
        <is>
          <t>AR Balance</t>
        </is>
      </c>
      <c r="B9" s="11" t="n"/>
      <c r="C9" s="11" t="n"/>
      <c r="D9" s="11" t="n"/>
      <c r="E9" s="11">
        <f>B9-C9</f>
        <v/>
      </c>
      <c r="F9" s="12">
        <f>IF(C9=0,0,(B9-C9)/ABS(C9))</f>
        <v/>
      </c>
    </row>
    <row r="10">
      <c r="A10" s="10" t="inlineStr">
        <is>
          <t>AP Balance</t>
        </is>
      </c>
      <c r="B10" s="11" t="n"/>
      <c r="C10" s="11" t="n"/>
      <c r="D10" s="11" t="n"/>
      <c r="E10" s="11">
        <f>B10-C10</f>
        <v/>
      </c>
      <c r="F10" s="12">
        <f>IF(C10=0,0,(B10-C10)/ABS(C10))</f>
        <v/>
      </c>
    </row>
    <row r="12">
      <c r="A12" s="13" t="inlineStr">
        <is>
          <t>KEY RATIOS</t>
        </is>
      </c>
      <c r="B12" s="3" t="n"/>
      <c r="C12" s="3" t="n"/>
      <c r="D12" s="3" t="n"/>
      <c r="E12" s="3" t="n"/>
      <c r="F12" s="3" t="n"/>
    </row>
    <row r="13" ht="20" customHeight="1">
      <c r="A13" s="6" t="inlineStr">
        <is>
          <t>Ratio</t>
        </is>
      </c>
      <c r="B13" s="6" t="inlineStr">
        <is>
          <t>Current</t>
        </is>
      </c>
      <c r="C13" s="6" t="inlineStr">
        <is>
          <t>Prior Month</t>
        </is>
      </c>
      <c r="D13" s="6" t="inlineStr">
        <is>
          <t>Target</t>
        </is>
      </c>
      <c r="E13" s="6" t="inlineStr">
        <is>
          <t>Status</t>
        </is>
      </c>
      <c r="F13" t="inlineStr"/>
    </row>
    <row r="14">
      <c r="A14" s="14" t="inlineStr">
        <is>
          <t>Current Ratio</t>
        </is>
      </c>
      <c r="B14" s="15" t="n"/>
      <c r="C14" s="15" t="n"/>
      <c r="D14" s="15" t="n"/>
      <c r="E14" s="16">
        <f>IF(D14="","",IF(B14&gt;=D14,"✓","✗"))</f>
        <v/>
      </c>
    </row>
    <row r="15">
      <c r="A15" s="14" t="inlineStr">
        <is>
          <t>Quick Ratio</t>
        </is>
      </c>
      <c r="B15" s="15" t="n"/>
      <c r="C15" s="15" t="n"/>
      <c r="D15" s="15" t="n"/>
      <c r="E15" s="16">
        <f>IF(D15="","",IF(B15&gt;=D15,"✓","✗"))</f>
        <v/>
      </c>
    </row>
    <row r="16">
      <c r="A16" s="14" t="inlineStr">
        <is>
          <t>Gross Margin %</t>
        </is>
      </c>
      <c r="B16" s="15" t="n"/>
      <c r="C16" s="15" t="n"/>
      <c r="D16" s="15" t="n"/>
      <c r="E16" s="16">
        <f>IF(D16="","",IF(B16&gt;=D16,"✓","✗"))</f>
        <v/>
      </c>
    </row>
    <row r="17">
      <c r="A17" s="14" t="inlineStr">
        <is>
          <t>Net Margin %</t>
        </is>
      </c>
      <c r="B17" s="15" t="n"/>
      <c r="C17" s="15" t="n"/>
      <c r="D17" s="15" t="n"/>
      <c r="E17" s="16">
        <f>IF(D17="","",IF(B17&gt;=D17,"✓","✗"))</f>
        <v/>
      </c>
    </row>
    <row r="18">
      <c r="A18" s="14" t="inlineStr">
        <is>
          <t>AR Days</t>
        </is>
      </c>
      <c r="B18" s="15" t="n"/>
      <c r="C18" s="15" t="n"/>
      <c r="D18" s="15" t="n"/>
      <c r="E18" s="16">
        <f>IF(D18="","",IF(B18&gt;=D18,"✓","✗"))</f>
        <v/>
      </c>
    </row>
    <row r="19">
      <c r="A19" s="14" t="inlineStr">
        <is>
          <t>AP Days</t>
        </is>
      </c>
      <c r="B19" s="15" t="n"/>
      <c r="C19" s="15" t="n"/>
      <c r="D19" s="15" t="n"/>
      <c r="E19" s="16">
        <f>IF(D19="","",IF(B19&gt;=D19,"✓","✗"))</f>
        <v/>
      </c>
    </row>
    <row r="22">
      <c r="A22" s="13" t="inlineStr">
        <is>
          <t>KEY OBSERVATIONS</t>
        </is>
      </c>
      <c r="B22" s="3" t="n"/>
      <c r="C22" s="3" t="n"/>
      <c r="D22" s="3" t="n"/>
      <c r="E22" s="3" t="n"/>
      <c r="F22" s="3" t="n"/>
    </row>
    <row r="23">
      <c r="A23" s="10" t="inlineStr">
        <is>
          <t>1.</t>
        </is>
      </c>
      <c r="B23" s="15" t="n"/>
    </row>
    <row r="24">
      <c r="A24" s="10" t="inlineStr">
        <is>
          <t>2.</t>
        </is>
      </c>
      <c r="B24" s="15" t="n"/>
    </row>
    <row r="25">
      <c r="A25" s="10" t="inlineStr">
        <is>
          <t>3.</t>
        </is>
      </c>
      <c r="B25" s="15" t="n"/>
    </row>
    <row r="26">
      <c r="A26" s="10" t="inlineStr">
        <is>
          <t>4.</t>
        </is>
      </c>
      <c r="B26" s="15" t="n"/>
    </row>
    <row r="28">
      <c r="A28" s="13" t="inlineStr">
        <is>
          <t>ACTION ITEMS</t>
        </is>
      </c>
      <c r="B28" s="3" t="n"/>
      <c r="C28" s="3" t="n"/>
      <c r="D28" s="3" t="n"/>
      <c r="E28" s="3" t="n"/>
      <c r="F28" s="3" t="n"/>
    </row>
    <row r="29">
      <c r="A29" s="10" t="inlineStr">
        <is>
          <t>1.</t>
        </is>
      </c>
      <c r="B29" s="15" t="n"/>
    </row>
    <row r="30">
      <c r="A30" s="10" t="inlineStr">
        <is>
          <t>2.</t>
        </is>
      </c>
      <c r="B30" s="15" t="n"/>
    </row>
    <row r="31">
      <c r="A31" s="10" t="inlineStr">
        <is>
          <t>3.</t>
        </is>
      </c>
      <c r="B31" s="15" t="n"/>
    </row>
    <row r="32">
      <c r="A32" s="10" t="inlineStr">
        <is>
          <t>4.</t>
        </is>
      </c>
      <c r="B32" s="15" t="n"/>
    </row>
  </sheetData>
  <mergeCells count="9">
    <mergeCell ref="B30:F30"/>
    <mergeCell ref="B29:F29"/>
    <mergeCell ref="B24:F24"/>
    <mergeCell ref="A1:F1"/>
    <mergeCell ref="B25:F25"/>
    <mergeCell ref="B31:F31"/>
    <mergeCell ref="B23:F23"/>
    <mergeCell ref="B32:F32"/>
    <mergeCell ref="B26:F26"/>
  </mergeCells>
  <conditionalFormatting sqref="E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E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F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E8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F8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E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F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E1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F10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963B"/>
    <outlinePr summaryBelow="1" summaryRight="1"/>
    <pageSetUpPr/>
  </sheetPr>
  <dimension ref="A1:K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0" customHeight="1">
      <c r="A1" s="6" t="inlineStr">
        <is>
          <t>Account</t>
        </is>
      </c>
      <c r="B1" s="6" t="inlineStr">
        <is>
          <t>Current Month</t>
        </is>
      </c>
      <c r="C1" s="6" t="inlineStr">
        <is>
          <t>Prior Month</t>
        </is>
      </c>
      <c r="D1" s="6" t="inlineStr">
        <is>
          <t>$ Variance</t>
        </is>
      </c>
      <c r="E1" s="6" t="inlineStr">
        <is>
          <t>% Variance</t>
        </is>
      </c>
      <c r="F1" s="6" t="inlineStr">
        <is>
          <t>Prior Year</t>
        </is>
      </c>
      <c r="G1" s="6" t="inlineStr">
        <is>
          <t>YoY $ Var</t>
        </is>
      </c>
      <c r="H1" s="6" t="inlineStr">
        <is>
          <t>YoY % Var</t>
        </is>
      </c>
      <c r="I1" s="6" t="inlineStr">
        <is>
          <t>YTD</t>
        </is>
      </c>
      <c r="J1" s="6" t="inlineStr">
        <is>
          <t>Budget</t>
        </is>
      </c>
      <c r="K1" s="6" t="inlineStr">
        <is>
          <t>Budget Var</t>
        </is>
      </c>
    </row>
    <row r="2">
      <c r="A2" s="7" t="inlineStr">
        <is>
          <t>Revenue</t>
        </is>
      </c>
      <c r="B2" s="11" t="n"/>
      <c r="C2" s="11" t="n"/>
      <c r="D2" s="11">
        <f>B2-C2</f>
        <v/>
      </c>
      <c r="E2" s="12">
        <f>IF(C2=0,0,(B2-C2)/ABS(C2))</f>
        <v/>
      </c>
      <c r="F2" s="11" t="n"/>
      <c r="G2" s="11">
        <f>B2-F2</f>
        <v/>
      </c>
      <c r="H2" s="12">
        <f>IF(F2=0,0,(B2-F2)/ABS(F2))</f>
        <v/>
      </c>
      <c r="I2" s="11" t="n"/>
      <c r="J2" s="11" t="n"/>
      <c r="K2" s="11">
        <f>B2-J2</f>
        <v/>
      </c>
    </row>
    <row r="3">
      <c r="A3" s="7" t="inlineStr">
        <is>
          <t>Cost of Goods Sold</t>
        </is>
      </c>
      <c r="B3" s="11" t="n"/>
      <c r="C3" s="11" t="n"/>
      <c r="D3" s="11">
        <f>B3-C3</f>
        <v/>
      </c>
      <c r="E3" s="12">
        <f>IF(C3=0,0,(B3-C3)/ABS(C3))</f>
        <v/>
      </c>
      <c r="F3" s="11" t="n"/>
      <c r="G3" s="11">
        <f>B3-F3</f>
        <v/>
      </c>
      <c r="H3" s="12">
        <f>IF(F3=0,0,(B3-F3)/ABS(F3))</f>
        <v/>
      </c>
      <c r="I3" s="11" t="n"/>
      <c r="J3" s="11" t="n"/>
      <c r="K3" s="11">
        <f>B3-J3</f>
        <v/>
      </c>
    </row>
    <row r="4">
      <c r="A4" s="10" t="inlineStr">
        <is>
          <t>Gross Profit</t>
        </is>
      </c>
      <c r="B4" s="11" t="n"/>
      <c r="C4" s="11" t="n"/>
      <c r="D4" s="11">
        <f>B4-C4</f>
        <v/>
      </c>
      <c r="E4" s="12">
        <f>IF(C4=0,0,(B4-C4)/ABS(C4))</f>
        <v/>
      </c>
      <c r="F4" s="11" t="n"/>
      <c r="G4" s="11">
        <f>B4-F4</f>
        <v/>
      </c>
      <c r="H4" s="12">
        <f>IF(F4=0,0,(B4-F4)/ABS(F4))</f>
        <v/>
      </c>
      <c r="I4" s="11" t="n"/>
      <c r="J4" s="11" t="n"/>
      <c r="K4" s="11">
        <f>B4-J4</f>
        <v/>
      </c>
    </row>
    <row r="5">
      <c r="A5" s="7" t="inlineStr">
        <is>
          <t>Payroll</t>
        </is>
      </c>
      <c r="B5" s="11" t="n"/>
      <c r="C5" s="11" t="n"/>
      <c r="D5" s="11">
        <f>B5-C5</f>
        <v/>
      </c>
      <c r="E5" s="12">
        <f>IF(C5=0,0,(B5-C5)/ABS(C5))</f>
        <v/>
      </c>
      <c r="F5" s="11" t="n"/>
      <c r="G5" s="11">
        <f>B5-F5</f>
        <v/>
      </c>
      <c r="H5" s="12">
        <f>IF(F5=0,0,(B5-F5)/ABS(F5))</f>
        <v/>
      </c>
      <c r="I5" s="11" t="n"/>
      <c r="J5" s="11" t="n"/>
      <c r="K5" s="11">
        <f>B5-J5</f>
        <v/>
      </c>
    </row>
    <row r="6">
      <c r="A6" s="7" t="inlineStr">
        <is>
          <t>Rent</t>
        </is>
      </c>
      <c r="B6" s="11" t="n"/>
      <c r="C6" s="11" t="n"/>
      <c r="D6" s="11">
        <f>B6-C6</f>
        <v/>
      </c>
      <c r="E6" s="12">
        <f>IF(C6=0,0,(B6-C6)/ABS(C6))</f>
        <v/>
      </c>
      <c r="F6" s="11" t="n"/>
      <c r="G6" s="11">
        <f>B6-F6</f>
        <v/>
      </c>
      <c r="H6" s="12">
        <f>IF(F6=0,0,(B6-F6)/ABS(F6))</f>
        <v/>
      </c>
      <c r="I6" s="11" t="n"/>
      <c r="J6" s="11" t="n"/>
      <c r="K6" s="11">
        <f>B6-J6</f>
        <v/>
      </c>
    </row>
    <row r="7">
      <c r="A7" s="7" t="inlineStr">
        <is>
          <t>Marketing</t>
        </is>
      </c>
      <c r="B7" s="11" t="n"/>
      <c r="C7" s="11" t="n"/>
      <c r="D7" s="11">
        <f>B7-C7</f>
        <v/>
      </c>
      <c r="E7" s="12">
        <f>IF(C7=0,0,(B7-C7)/ABS(C7))</f>
        <v/>
      </c>
      <c r="F7" s="11" t="n"/>
      <c r="G7" s="11">
        <f>B7-F7</f>
        <v/>
      </c>
      <c r="H7" s="12">
        <f>IF(F7=0,0,(B7-F7)/ABS(F7))</f>
        <v/>
      </c>
      <c r="I7" s="11" t="n"/>
      <c r="J7" s="11" t="n"/>
      <c r="K7" s="11">
        <f>B7-J7</f>
        <v/>
      </c>
    </row>
    <row r="8">
      <c r="A8" s="7" t="inlineStr">
        <is>
          <t>Insurance</t>
        </is>
      </c>
      <c r="B8" s="11" t="n"/>
      <c r="C8" s="11" t="n"/>
      <c r="D8" s="11">
        <f>B8-C8</f>
        <v/>
      </c>
      <c r="E8" s="12">
        <f>IF(C8=0,0,(B8-C8)/ABS(C8))</f>
        <v/>
      </c>
      <c r="F8" s="11" t="n"/>
      <c r="G8" s="11">
        <f>B8-F8</f>
        <v/>
      </c>
      <c r="H8" s="12">
        <f>IF(F8=0,0,(B8-F8)/ABS(F8))</f>
        <v/>
      </c>
      <c r="I8" s="11" t="n"/>
      <c r="J8" s="11" t="n"/>
      <c r="K8" s="11">
        <f>B8-J8</f>
        <v/>
      </c>
    </row>
    <row r="9">
      <c r="A9" s="7" t="inlineStr">
        <is>
          <t>Depreciation</t>
        </is>
      </c>
      <c r="B9" s="11" t="n"/>
      <c r="C9" s="11" t="n"/>
      <c r="D9" s="11">
        <f>B9-C9</f>
        <v/>
      </c>
      <c r="E9" s="12">
        <f>IF(C9=0,0,(B9-C9)/ABS(C9))</f>
        <v/>
      </c>
      <c r="F9" s="11" t="n"/>
      <c r="G9" s="11">
        <f>B9-F9</f>
        <v/>
      </c>
      <c r="H9" s="12">
        <f>IF(F9=0,0,(B9-F9)/ABS(F9))</f>
        <v/>
      </c>
      <c r="I9" s="11" t="n"/>
      <c r="J9" s="11" t="n"/>
      <c r="K9" s="11">
        <f>B9-J9</f>
        <v/>
      </c>
    </row>
    <row r="10">
      <c r="A10" s="7" t="inlineStr">
        <is>
          <t>Other Operating</t>
        </is>
      </c>
      <c r="B10" s="11" t="n"/>
      <c r="C10" s="11" t="n"/>
      <c r="D10" s="11">
        <f>B10-C10</f>
        <v/>
      </c>
      <c r="E10" s="12">
        <f>IF(C10=0,0,(B10-C10)/ABS(C10))</f>
        <v/>
      </c>
      <c r="F10" s="11" t="n"/>
      <c r="G10" s="11">
        <f>B10-F10</f>
        <v/>
      </c>
      <c r="H10" s="12">
        <f>IF(F10=0,0,(B10-F10)/ABS(F10))</f>
        <v/>
      </c>
      <c r="I10" s="11" t="n"/>
      <c r="J10" s="11" t="n"/>
      <c r="K10" s="11">
        <f>B10-J10</f>
        <v/>
      </c>
    </row>
    <row r="11">
      <c r="A11" s="10" t="inlineStr">
        <is>
          <t>Total Operating Expenses</t>
        </is>
      </c>
      <c r="B11" s="11" t="n"/>
      <c r="C11" s="11" t="n"/>
      <c r="D11" s="11">
        <f>B11-C11</f>
        <v/>
      </c>
      <c r="E11" s="12">
        <f>IF(C11=0,0,(B11-C11)/ABS(C11))</f>
        <v/>
      </c>
      <c r="F11" s="11" t="n"/>
      <c r="G11" s="11">
        <f>B11-F11</f>
        <v/>
      </c>
      <c r="H11" s="12">
        <f>IF(F11=0,0,(B11-F11)/ABS(F11))</f>
        <v/>
      </c>
      <c r="I11" s="11" t="n"/>
      <c r="J11" s="11" t="n"/>
      <c r="K11" s="11">
        <f>B11-J11</f>
        <v/>
      </c>
    </row>
    <row r="12">
      <c r="A12" s="10" t="inlineStr">
        <is>
          <t>Operating Income</t>
        </is>
      </c>
      <c r="B12" s="11" t="n"/>
      <c r="C12" s="11" t="n"/>
      <c r="D12" s="11">
        <f>B12-C12</f>
        <v/>
      </c>
      <c r="E12" s="12">
        <f>IF(C12=0,0,(B12-C12)/ABS(C12))</f>
        <v/>
      </c>
      <c r="F12" s="11" t="n"/>
      <c r="G12" s="11">
        <f>B12-F12</f>
        <v/>
      </c>
      <c r="H12" s="12">
        <f>IF(F12=0,0,(B12-F12)/ABS(F12))</f>
        <v/>
      </c>
      <c r="I12" s="11" t="n"/>
      <c r="J12" s="11" t="n"/>
      <c r="K12" s="11">
        <f>B12-J12</f>
        <v/>
      </c>
    </row>
    <row r="13">
      <c r="A13" s="7" t="inlineStr">
        <is>
          <t>Interest Expense</t>
        </is>
      </c>
      <c r="B13" s="11" t="n"/>
      <c r="C13" s="11" t="n"/>
      <c r="D13" s="11">
        <f>B13-C13</f>
        <v/>
      </c>
      <c r="E13" s="12">
        <f>IF(C13=0,0,(B13-C13)/ABS(C13))</f>
        <v/>
      </c>
      <c r="F13" s="11" t="n"/>
      <c r="G13" s="11">
        <f>B13-F13</f>
        <v/>
      </c>
      <c r="H13" s="12">
        <f>IF(F13=0,0,(B13-F13)/ABS(F13))</f>
        <v/>
      </c>
      <c r="I13" s="11" t="n"/>
      <c r="J13" s="11" t="n"/>
      <c r="K13" s="11">
        <f>B13-J13</f>
        <v/>
      </c>
    </row>
    <row r="14">
      <c r="A14" s="7" t="inlineStr">
        <is>
          <t>Other Income</t>
        </is>
      </c>
      <c r="B14" s="11" t="n"/>
      <c r="C14" s="11" t="n"/>
      <c r="D14" s="11">
        <f>B14-C14</f>
        <v/>
      </c>
      <c r="E14" s="12">
        <f>IF(C14=0,0,(B14-C14)/ABS(C14))</f>
        <v/>
      </c>
      <c r="F14" s="11" t="n"/>
      <c r="G14" s="11">
        <f>B14-F14</f>
        <v/>
      </c>
      <c r="H14" s="12">
        <f>IF(F14=0,0,(B14-F14)/ABS(F14))</f>
        <v/>
      </c>
      <c r="I14" s="11" t="n"/>
      <c r="J14" s="11" t="n"/>
      <c r="K14" s="11">
        <f>B14-J14</f>
        <v/>
      </c>
    </row>
    <row r="15">
      <c r="A15" s="10" t="inlineStr">
        <is>
          <t>Net Income</t>
        </is>
      </c>
      <c r="B15" s="11" t="n"/>
      <c r="C15" s="11" t="n"/>
      <c r="D15" s="11">
        <f>B15-C15</f>
        <v/>
      </c>
      <c r="E15" s="12">
        <f>IF(C15=0,0,(B15-C15)/ABS(C15))</f>
        <v/>
      </c>
      <c r="F15" s="11" t="n"/>
      <c r="G15" s="11">
        <f>B15-F15</f>
        <v/>
      </c>
      <c r="H15" s="12">
        <f>IF(F15=0,0,(B15-F15)/ABS(F15))</f>
        <v/>
      </c>
      <c r="I15" s="11" t="n"/>
      <c r="J15" s="11" t="n"/>
      <c r="K15" s="11">
        <f>B15-J15</f>
        <v/>
      </c>
    </row>
  </sheetData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D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E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G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H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K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D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E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G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H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K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D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E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G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H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K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D6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E6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G6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H6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K6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D7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E7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G7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H7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K7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D8">
    <cfRule type="cellIs" priority="61" operator="greaterThan" dxfId="0">
      <formula>0</formula>
    </cfRule>
    <cfRule type="cellIs" priority="62" operator="lessThan" dxfId="1">
      <formula>0</formula>
    </cfRule>
  </conditionalFormatting>
  <conditionalFormatting sqref="E8">
    <cfRule type="cellIs" priority="63" operator="greaterThan" dxfId="0">
      <formula>0</formula>
    </cfRule>
    <cfRule type="cellIs" priority="64" operator="lessThan" dxfId="1">
      <formula>0</formula>
    </cfRule>
  </conditionalFormatting>
  <conditionalFormatting sqref="G8">
    <cfRule type="cellIs" priority="65" operator="greaterThan" dxfId="0">
      <formula>0</formula>
    </cfRule>
    <cfRule type="cellIs" priority="66" operator="lessThan" dxfId="1">
      <formula>0</formula>
    </cfRule>
  </conditionalFormatting>
  <conditionalFormatting sqref="H8">
    <cfRule type="cellIs" priority="67" operator="greaterThan" dxfId="0">
      <formula>0</formula>
    </cfRule>
    <cfRule type="cellIs" priority="68" operator="lessThan" dxfId="1">
      <formula>0</formula>
    </cfRule>
  </conditionalFormatting>
  <conditionalFormatting sqref="K8">
    <cfRule type="cellIs" priority="69" operator="greaterThan" dxfId="0">
      <formula>0</formula>
    </cfRule>
    <cfRule type="cellIs" priority="70" operator="lessThan" dxfId="1">
      <formula>0</formula>
    </cfRule>
  </conditionalFormatting>
  <conditionalFormatting sqref="D9">
    <cfRule type="cellIs" priority="71" operator="greaterThan" dxfId="0">
      <formula>0</formula>
    </cfRule>
    <cfRule type="cellIs" priority="72" operator="lessThan" dxfId="1">
      <formula>0</formula>
    </cfRule>
  </conditionalFormatting>
  <conditionalFormatting sqref="E9"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G9"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H9"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K9"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D10"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E10"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G10">
    <cfRule type="cellIs" priority="85" operator="greaterThan" dxfId="0">
      <formula>0</formula>
    </cfRule>
    <cfRule type="cellIs" priority="86" operator="lessThan" dxfId="1">
      <formula>0</formula>
    </cfRule>
  </conditionalFormatting>
  <conditionalFormatting sqref="H10">
    <cfRule type="cellIs" priority="87" operator="greaterThan" dxfId="0">
      <formula>0</formula>
    </cfRule>
    <cfRule type="cellIs" priority="88" operator="lessThan" dxfId="1">
      <formula>0</formula>
    </cfRule>
  </conditionalFormatting>
  <conditionalFormatting sqref="K10">
    <cfRule type="cellIs" priority="89" operator="greaterThan" dxfId="0">
      <formula>0</formula>
    </cfRule>
    <cfRule type="cellIs" priority="90" operator="lessThan" dxfId="1">
      <formula>0</formula>
    </cfRule>
  </conditionalFormatting>
  <conditionalFormatting sqref="D11">
    <cfRule type="cellIs" priority="91" operator="greaterThan" dxfId="0">
      <formula>0</formula>
    </cfRule>
    <cfRule type="cellIs" priority="92" operator="lessThan" dxfId="1">
      <formula>0</formula>
    </cfRule>
  </conditionalFormatting>
  <conditionalFormatting sqref="E11">
    <cfRule type="cellIs" priority="93" operator="greaterThan" dxfId="0">
      <formula>0</formula>
    </cfRule>
    <cfRule type="cellIs" priority="94" operator="lessThan" dxfId="1">
      <formula>0</formula>
    </cfRule>
  </conditionalFormatting>
  <conditionalFormatting sqref="G11">
    <cfRule type="cellIs" priority="95" operator="greaterThan" dxfId="0">
      <formula>0</formula>
    </cfRule>
    <cfRule type="cellIs" priority="96" operator="lessThan" dxfId="1">
      <formula>0</formula>
    </cfRule>
  </conditionalFormatting>
  <conditionalFormatting sqref="H11"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K11"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D12"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E12"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12"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12"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K12"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D13"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E13">
    <cfRule type="cellIs" priority="113" operator="greaterThan" dxfId="0">
      <formula>0</formula>
    </cfRule>
    <cfRule type="cellIs" priority="114" operator="lessThan" dxfId="1">
      <formula>0</formula>
    </cfRule>
  </conditionalFormatting>
  <conditionalFormatting sqref="G13">
    <cfRule type="cellIs" priority="115" operator="greaterThan" dxfId="0">
      <formula>0</formula>
    </cfRule>
    <cfRule type="cellIs" priority="116" operator="lessThan" dxfId="1">
      <formula>0</formula>
    </cfRule>
  </conditionalFormatting>
  <conditionalFormatting sqref="H13">
    <cfRule type="cellIs" priority="117" operator="greaterThan" dxfId="0">
      <formula>0</formula>
    </cfRule>
    <cfRule type="cellIs" priority="118" operator="lessThan" dxfId="1">
      <formula>0</formula>
    </cfRule>
  </conditionalFormatting>
  <conditionalFormatting sqref="K13">
    <cfRule type="cellIs" priority="119" operator="greaterThan" dxfId="0">
      <formula>0</formula>
    </cfRule>
    <cfRule type="cellIs" priority="120" operator="lessThan" dxfId="1">
      <formula>0</formula>
    </cfRule>
  </conditionalFormatting>
  <conditionalFormatting sqref="D14"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E14"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G14"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H14"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K14"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D15"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E15"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G15"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H15"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K15">
    <cfRule type="cellIs" priority="139" operator="greaterThan" dxfId="0">
      <formula>0</formula>
    </cfRule>
    <cfRule type="cellIs" priority="140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963B"/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20" customHeight="1">
      <c r="A1" s="6" t="inlineStr">
        <is>
          <t>Account</t>
        </is>
      </c>
      <c r="B1" s="6" t="inlineStr">
        <is>
          <t>Current Month</t>
        </is>
      </c>
      <c r="C1" s="6" t="inlineStr">
        <is>
          <t>Prior Month</t>
        </is>
      </c>
      <c r="D1" s="6" t="inlineStr">
        <is>
          <t>$ Variance</t>
        </is>
      </c>
      <c r="E1" s="6" t="inlineStr">
        <is>
          <t>% Variance</t>
        </is>
      </c>
    </row>
    <row r="2">
      <c r="A2" s="7" t="inlineStr">
        <is>
          <t>Cash &amp; Equivalents</t>
        </is>
      </c>
      <c r="B2" s="11" t="n"/>
      <c r="C2" s="11" t="n"/>
      <c r="D2" s="11">
        <f>B2-C2</f>
        <v/>
      </c>
      <c r="E2" s="12">
        <f>IF(C2=0,0,(B2-C2)/ABS(C2))</f>
        <v/>
      </c>
    </row>
    <row r="3">
      <c r="A3" s="7" t="inlineStr">
        <is>
          <t>Accounts Receivable</t>
        </is>
      </c>
      <c r="B3" s="11" t="n"/>
      <c r="C3" s="11" t="n"/>
      <c r="D3" s="11">
        <f>B3-C3</f>
        <v/>
      </c>
      <c r="E3" s="12">
        <f>IF(C3=0,0,(B3-C3)/ABS(C3))</f>
        <v/>
      </c>
    </row>
    <row r="4">
      <c r="A4" s="7" t="inlineStr">
        <is>
          <t>Other Current Assets</t>
        </is>
      </c>
      <c r="B4" s="11" t="n"/>
      <c r="C4" s="11" t="n"/>
      <c r="D4" s="11">
        <f>B4-C4</f>
        <v/>
      </c>
      <c r="E4" s="12">
        <f>IF(C4=0,0,(B4-C4)/ABS(C4))</f>
        <v/>
      </c>
    </row>
    <row r="5">
      <c r="A5" s="10" t="inlineStr">
        <is>
          <t>Total Current Assets</t>
        </is>
      </c>
      <c r="B5" s="11" t="n"/>
      <c r="C5" s="11" t="n"/>
      <c r="D5" s="11">
        <f>B5-C5</f>
        <v/>
      </c>
      <c r="E5" s="12">
        <f>IF(C5=0,0,(B5-C5)/ABS(C5))</f>
        <v/>
      </c>
    </row>
    <row r="6">
      <c r="A6" s="7" t="inlineStr">
        <is>
          <t>Fixed Assets (net)</t>
        </is>
      </c>
      <c r="B6" s="11" t="n"/>
      <c r="C6" s="11" t="n"/>
      <c r="D6" s="11">
        <f>B6-C6</f>
        <v/>
      </c>
      <c r="E6" s="12">
        <f>IF(C6=0,0,(B6-C6)/ABS(C6))</f>
        <v/>
      </c>
    </row>
    <row r="7">
      <c r="A7" s="10" t="inlineStr">
        <is>
          <t>Total Assets</t>
        </is>
      </c>
      <c r="B7" s="11" t="n"/>
      <c r="C7" s="11" t="n"/>
      <c r="D7" s="11">
        <f>B7-C7</f>
        <v/>
      </c>
      <c r="E7" s="12">
        <f>IF(C7=0,0,(B7-C7)/ABS(C7))</f>
        <v/>
      </c>
    </row>
    <row r="8">
      <c r="A8" s="7" t="inlineStr">
        <is>
          <t>Accounts Payable</t>
        </is>
      </c>
      <c r="B8" s="11" t="n"/>
      <c r="C8" s="11" t="n"/>
      <c r="D8" s="11">
        <f>B8-C8</f>
        <v/>
      </c>
      <c r="E8" s="12">
        <f>IF(C8=0,0,(B8-C8)/ABS(C8))</f>
        <v/>
      </c>
    </row>
    <row r="9">
      <c r="A9" s="7" t="inlineStr">
        <is>
          <t>Credit Cards</t>
        </is>
      </c>
      <c r="B9" s="11" t="n"/>
      <c r="C9" s="11" t="n"/>
      <c r="D9" s="11">
        <f>B9-C9</f>
        <v/>
      </c>
      <c r="E9" s="12">
        <f>IF(C9=0,0,(B9-C9)/ABS(C9))</f>
        <v/>
      </c>
    </row>
    <row r="10">
      <c r="A10" s="7" t="inlineStr">
        <is>
          <t>Other Current Liabilities</t>
        </is>
      </c>
      <c r="B10" s="11" t="n"/>
      <c r="C10" s="11" t="n"/>
      <c r="D10" s="11">
        <f>B10-C10</f>
        <v/>
      </c>
      <c r="E10" s="12">
        <f>IF(C10=0,0,(B10-C10)/ABS(C10))</f>
        <v/>
      </c>
    </row>
    <row r="11">
      <c r="A11" s="10" t="inlineStr">
        <is>
          <t>Total Current Liabilities</t>
        </is>
      </c>
      <c r="B11" s="11" t="n"/>
      <c r="C11" s="11" t="n"/>
      <c r="D11" s="11">
        <f>B11-C11</f>
        <v/>
      </c>
      <c r="E11" s="12">
        <f>IF(C11=0,0,(B11-C11)/ABS(C11))</f>
        <v/>
      </c>
    </row>
    <row r="12">
      <c r="A12" s="7" t="inlineStr">
        <is>
          <t>Long-Term Debt</t>
        </is>
      </c>
      <c r="B12" s="11" t="n"/>
      <c r="C12" s="11" t="n"/>
      <c r="D12" s="11">
        <f>B12-C12</f>
        <v/>
      </c>
      <c r="E12" s="12">
        <f>IF(C12=0,0,(B12-C12)/ABS(C12))</f>
        <v/>
      </c>
    </row>
    <row r="13">
      <c r="A13" s="10" t="inlineStr">
        <is>
          <t>Total Liabilities</t>
        </is>
      </c>
      <c r="B13" s="11" t="n"/>
      <c r="C13" s="11" t="n"/>
      <c r="D13" s="11">
        <f>B13-C13</f>
        <v/>
      </c>
      <c r="E13" s="12">
        <f>IF(C13=0,0,(B13-C13)/ABS(C13))</f>
        <v/>
      </c>
    </row>
    <row r="14">
      <c r="A14" s="7" t="inlineStr">
        <is>
          <t>Owner's Equity</t>
        </is>
      </c>
      <c r="B14" s="11" t="n"/>
      <c r="C14" s="11" t="n"/>
      <c r="D14" s="11">
        <f>B14-C14</f>
        <v/>
      </c>
      <c r="E14" s="12">
        <f>IF(C14=0,0,(B14-C14)/ABS(C14))</f>
        <v/>
      </c>
    </row>
    <row r="15">
      <c r="A15" s="7" t="inlineStr">
        <is>
          <t>Retained Earnings</t>
        </is>
      </c>
      <c r="B15" s="11" t="n"/>
      <c r="C15" s="11" t="n"/>
      <c r="D15" s="11">
        <f>B15-C15</f>
        <v/>
      </c>
      <c r="E15" s="12">
        <f>IF(C15=0,0,(B15-C15)/ABS(C15))</f>
        <v/>
      </c>
    </row>
    <row r="16">
      <c r="A16" s="10" t="inlineStr">
        <is>
          <t>Total Equity</t>
        </is>
      </c>
      <c r="B16" s="11" t="n"/>
      <c r="C16" s="11" t="n"/>
      <c r="D16" s="11">
        <f>B16-C16</f>
        <v/>
      </c>
      <c r="E16" s="12">
        <f>IF(C16=0,0,(B16-C16)/ABS(C16))</f>
        <v/>
      </c>
    </row>
    <row r="17">
      <c r="A17" s="10" t="inlineStr">
        <is>
          <t>Total Liab + Equity</t>
        </is>
      </c>
      <c r="B17" s="11" t="n"/>
      <c r="C17" s="11" t="n"/>
      <c r="D17" s="11">
        <f>B17-C17</f>
        <v/>
      </c>
      <c r="E17" s="12">
        <f>IF(C17=0,0,(B17-C17)/ABS(C17))</f>
        <v/>
      </c>
    </row>
  </sheetData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D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D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D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D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8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D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D1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D1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D1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D13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D1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D1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D1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D17"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963B"/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 ht="20" customHeight="1">
      <c r="A1" s="6" t="inlineStr">
        <is>
          <t>Metric</t>
        </is>
      </c>
      <c r="B1" s="6" t="inlineStr">
        <is>
          <t>Current</t>
        </is>
      </c>
      <c r="C1" s="6" t="inlineStr">
        <is>
          <t>Prior Month</t>
        </is>
      </c>
      <c r="D1" s="6" t="inlineStr">
        <is>
          <t>Target</t>
        </is>
      </c>
      <c r="E1" s="6" t="inlineStr">
        <is>
          <t>Status</t>
        </is>
      </c>
    </row>
    <row r="2">
      <c r="A2" s="10" t="inlineStr">
        <is>
          <t>Revenue</t>
        </is>
      </c>
      <c r="B2" s="11" t="n"/>
      <c r="C2" s="11" t="n"/>
      <c r="D2" s="11" t="n"/>
      <c r="E2" s="17">
        <f>IF(D2="","",IF(B2&gt;=D2,"✓","✗"))</f>
        <v/>
      </c>
    </row>
    <row r="3">
      <c r="A3" s="10" t="inlineStr">
        <is>
          <t>Gross Margin %</t>
        </is>
      </c>
      <c r="B3" s="12" t="n"/>
      <c r="C3" s="12" t="n"/>
      <c r="D3" s="12" t="n"/>
      <c r="E3" s="17">
        <f>IF(D3="","",IF(B3&gt;=D3,"✓","✗"))</f>
        <v/>
      </c>
    </row>
    <row r="4">
      <c r="A4" s="10" t="inlineStr">
        <is>
          <t>Net Margin %</t>
        </is>
      </c>
      <c r="B4" s="12" t="n"/>
      <c r="C4" s="12" t="n"/>
      <c r="D4" s="12" t="n"/>
      <c r="E4" s="17">
        <f>IF(D4="","",IF(B4&gt;=D4,"✓","✗"))</f>
        <v/>
      </c>
    </row>
    <row r="5">
      <c r="A5" s="10" t="inlineStr">
        <is>
          <t>Current Ratio</t>
        </is>
      </c>
      <c r="B5" s="11" t="n"/>
      <c r="C5" s="11" t="n"/>
      <c r="D5" s="11" t="n"/>
      <c r="E5" s="17">
        <f>IF(D5="","",IF(B5&gt;=D5,"✓","✗"))</f>
        <v/>
      </c>
    </row>
    <row r="6">
      <c r="A6" s="10" t="inlineStr">
        <is>
          <t>AR Days</t>
        </is>
      </c>
      <c r="B6" s="18" t="n"/>
      <c r="C6" s="18" t="n"/>
      <c r="D6" s="18" t="n"/>
      <c r="E6" s="17">
        <f>IF(D6="","",IF(B6&gt;=D6,"✓","✗"))</f>
        <v/>
      </c>
    </row>
    <row r="7">
      <c r="A7" s="10" t="inlineStr">
        <is>
          <t>AP Days</t>
        </is>
      </c>
      <c r="B7" s="18" t="n"/>
      <c r="C7" s="18" t="n"/>
      <c r="D7" s="18" t="n"/>
      <c r="E7" s="17">
        <f>IF(D7="","",IF(B7&gt;=D7,"✓","✗"))</f>
        <v/>
      </c>
    </row>
    <row r="8">
      <c r="A8" s="10" t="inlineStr">
        <is>
          <t>Cash Balance</t>
        </is>
      </c>
      <c r="B8" s="11" t="n"/>
      <c r="C8" s="11" t="n"/>
      <c r="D8" s="11" t="n"/>
      <c r="E8" s="17">
        <f>IF(D8="","",IF(B8&gt;=D8,"✓","✗"))</f>
        <v/>
      </c>
    </row>
    <row r="9">
      <c r="A9" s="10" t="inlineStr">
        <is>
          <t>Revenue per Employee</t>
        </is>
      </c>
      <c r="B9" s="11" t="n"/>
      <c r="C9" s="11" t="n"/>
      <c r="D9" s="11" t="n"/>
      <c r="E9" s="17">
        <f>IF(D9="","",IF(B9&gt;=D9,"✓","✗"))</f>
        <v/>
      </c>
    </row>
    <row r="10">
      <c r="A10" s="10" t="inlineStr">
        <is>
          <t>Customer Count</t>
        </is>
      </c>
      <c r="B10" s="18" t="n"/>
      <c r="C10" s="18" t="n"/>
      <c r="D10" s="18" t="n"/>
      <c r="E10" s="17">
        <f>IF(D10="","",IF(B10&gt;=D10,"✓","✗"))</f>
        <v/>
      </c>
    </row>
    <row r="11">
      <c r="A11" s="10" t="inlineStr">
        <is>
          <t>MRR</t>
        </is>
      </c>
      <c r="B11" s="11" t="n"/>
      <c r="C11" s="11" t="n"/>
      <c r="D11" s="11" t="n"/>
      <c r="E11" s="17">
        <f>IF(D11="","",IF(B11&gt;=D11,"✓","✗"))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2026-03-12T20:07:49Z</dcterms:created>
  <dcterms:modified xmlns:dcterms="http://purl.org/dc/terms/" xmlns:xsi="http://www.w3.org/2001/XMLSchema-instance" xsi:type="dcterms:W3CDTF">2026-03-12T20:07:49Z</dcterms:modified>
</cp:coreProperties>
</file>