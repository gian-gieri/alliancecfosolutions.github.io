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OR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%"/>
    <numFmt numFmtId="166" formatCode="$#,##0"/>
    <numFmt numFmtId="167" formatCode="0.0"/>
  </numFmts>
  <fonts count="7">
    <font>
      <name val="Calibri"/>
      <family val="2"/>
      <color theme="1"/>
      <sz val="11"/>
      <scheme val="minor"/>
    </font>
    <font>
      <name val="Georgia"/>
      <b val="1"/>
      <color rgb="001B3A5C"/>
      <sz val="16"/>
    </font>
    <font>
      <name val="Calibri"/>
      <b val="1"/>
      <sz val="11"/>
    </font>
    <font>
      <name val="Georgia"/>
      <b val="1"/>
      <color rgb="00C9963B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B3A5C"/>
      <sz val="12"/>
    </font>
  </fonts>
  <fills count="3">
    <fill>
      <patternFill/>
    </fill>
    <fill>
      <patternFill patternType="gray125"/>
    </fill>
    <fill>
      <patternFill patternType="solid">
        <fgColor rgb="001B3A5C"/>
      </patternFill>
    </fill>
  </fills>
  <borders count="4">
    <border>
      <left/>
      <right/>
      <top/>
      <bottom/>
      <diagonal/>
    </border>
    <border>
      <left style="thin">
        <color rgb="00C9963B"/>
      </left>
      <right style="thin">
        <color rgb="00C9963B"/>
      </right>
      <top style="thin">
        <color rgb="00C9963B"/>
      </top>
      <bottom style="thin">
        <color rgb="00C9963B"/>
      </bottom>
    </border>
    <border>
      <bottom style="medium">
        <color rgb="00C9963B"/>
      </bottom>
    </border>
    <border>
      <top style="thin">
        <color rgb="001B3A5C"/>
      </top>
      <bottom style="double">
        <color rgb="001B3A5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5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0" fontId="4" fillId="2" borderId="1" applyAlignment="1" pivotButton="0" quotePrefix="0" xfId="0">
      <alignment horizontal="center" vertical="center" wrapText="1"/>
    </xf>
    <xf numFmtId="167" fontId="0" fillId="0" borderId="1" pivotButton="0" quotePrefix="0" xfId="0"/>
    <xf numFmtId="0" fontId="2" fillId="0" borderId="3" pivotButton="0" quotePrefix="0" xfId="0"/>
    <xf numFmtId="167" fontId="2" fillId="0" borderId="3" pivotButton="0" quotePrefix="0" xfId="0"/>
    <xf numFmtId="0" fontId="2" fillId="0" borderId="1" pivotButton="0" quotePrefix="0" xfId="0"/>
    <xf numFmtId="166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6" fillId="0" borderId="0" pivotButton="0" quotePrefix="0" xfId="0"/>
    <xf numFmtId="166" fontId="0" fillId="0" borderId="0" pivotButton="0" quotePrefix="0" xfId="0"/>
    <xf numFmtId="166" fontId="6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3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FEB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963B"/>
    <outlinePr summaryBelow="1" summaryRight="1"/>
    <pageSetUpPr/>
  </sheetPr>
  <dimension ref="A1:D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ENGAGEMENT PRICING CALCULATOR</t>
        </is>
      </c>
    </row>
    <row r="3">
      <c r="A3" s="2" t="inlineStr">
        <is>
          <t>Client Name:</t>
        </is>
      </c>
      <c r="B3" s="3" t="inlineStr">
        <is>
          <t>[Enter Client]</t>
        </is>
      </c>
    </row>
    <row r="5">
      <c r="A5" s="4" t="inlineStr">
        <is>
          <t>ESTIMATED HOURS PER MONTH</t>
        </is>
      </c>
      <c r="B5" s="5" t="n"/>
    </row>
    <row r="6" ht="20" customHeight="1">
      <c r="A6" s="6" t="inlineStr">
        <is>
          <t>Activity</t>
        </is>
      </c>
      <c r="B6" s="6" t="inlineStr">
        <is>
          <t>Hours/Month</t>
        </is>
      </c>
    </row>
    <row r="7">
      <c r="A7" s="3" t="inlineStr">
        <is>
          <t>Monthly close review</t>
        </is>
      </c>
      <c r="B7" s="7" t="n"/>
    </row>
    <row r="8">
      <c r="A8" s="3" t="inlineStr">
        <is>
          <t>Financial package prep</t>
        </is>
      </c>
      <c r="B8" s="7" t="n"/>
    </row>
    <row r="9">
      <c r="A9" s="3" t="inlineStr">
        <is>
          <t>Strategy calls</t>
        </is>
      </c>
      <c r="B9" s="7" t="n"/>
    </row>
    <row r="10">
      <c r="A10" s="3" t="inlineStr">
        <is>
          <t>Cash flow forecasting</t>
        </is>
      </c>
      <c r="B10" s="7" t="n"/>
    </row>
    <row r="11">
      <c r="A11" s="3" t="inlineStr">
        <is>
          <t>KPI dashboard maintenance</t>
        </is>
      </c>
      <c r="B11" s="7" t="n"/>
    </row>
    <row r="12">
      <c r="A12" s="3" t="inlineStr">
        <is>
          <t>Ad hoc support</t>
        </is>
      </c>
      <c r="B12" s="7" t="n"/>
    </row>
    <row r="13">
      <c r="A13" s="3" t="inlineStr">
        <is>
          <t>Lender/investor prep</t>
        </is>
      </c>
      <c r="B13" s="7" t="n"/>
    </row>
    <row r="14">
      <c r="A14" s="8" t="inlineStr">
        <is>
          <t>TOTAL HOURS</t>
        </is>
      </c>
      <c r="B14" s="9">
        <f>SUM(B7:B13)</f>
        <v/>
      </c>
    </row>
    <row r="16">
      <c r="A16" s="4" t="inlineStr">
        <is>
          <t>EFFECTIVE RATE BY TIER</t>
        </is>
      </c>
      <c r="B16" s="5" t="n"/>
      <c r="C16" s="5" t="n"/>
      <c r="D16" s="5" t="n"/>
    </row>
    <row r="17" ht="20" customHeight="1">
      <c r="A17" s="6" t="inlineStr">
        <is>
          <t>Tier</t>
        </is>
      </c>
      <c r="B17" s="6" t="inlineStr">
        <is>
          <t>Price</t>
        </is>
      </c>
      <c r="C17" s="6" t="inlineStr">
        <is>
          <t>Eff. Rate</t>
        </is>
      </c>
      <c r="D17" s="6" t="inlineStr">
        <is>
          <t>Margin</t>
        </is>
      </c>
    </row>
    <row r="18">
      <c r="A18" s="10" t="inlineStr">
        <is>
          <t>Tier 1 — Essentials</t>
        </is>
      </c>
      <c r="B18" s="11">
        <f>SETTINGS!B9</f>
        <v/>
      </c>
      <c r="C18" s="12">
        <f>IF(B14=0,0,B18/B14)</f>
        <v/>
      </c>
      <c r="D18" s="13">
        <f>IF(B18=0,0,(B18-(B14*SETTINGS!B3))/B18)</f>
        <v/>
      </c>
    </row>
    <row r="19">
      <c r="A19" s="10" t="inlineStr">
        <is>
          <t>Tier 2 — Growth</t>
        </is>
      </c>
      <c r="B19" s="11">
        <f>SETTINGS!B10</f>
        <v/>
      </c>
      <c r="C19" s="12">
        <f>IF(B14=0,0,B19/B14)</f>
        <v/>
      </c>
      <c r="D19" s="13">
        <f>IF(B19=0,0,(B19-(B14*SETTINGS!B3))/B19)</f>
        <v/>
      </c>
    </row>
    <row r="20">
      <c r="A20" s="10" t="inlineStr">
        <is>
          <t>Tier 3 — Scale</t>
        </is>
      </c>
      <c r="B20" s="11">
        <f>SETTINGS!B11</f>
        <v/>
      </c>
      <c r="C20" s="12">
        <f>IF(B14=0,0,B20/B14)</f>
        <v/>
      </c>
      <c r="D20" s="13">
        <f>IF(B20=0,0,(B20-(B14*SETTINGS!B3))/B20)</f>
        <v/>
      </c>
    </row>
    <row r="21">
      <c r="A21" s="10" t="inlineStr">
        <is>
          <t>Tier 4 — Enterprise</t>
        </is>
      </c>
      <c r="B21" s="11">
        <f>SETTINGS!B12</f>
        <v/>
      </c>
      <c r="C21" s="12">
        <f>IF(B14=0,0,B21/B14)</f>
        <v/>
      </c>
      <c r="D21" s="13">
        <f>IF(B21=0,0,(B21-(B14*SETTINGS!B3))/B21)</f>
        <v/>
      </c>
    </row>
    <row r="23">
      <c r="A23" s="4" t="inlineStr">
        <is>
          <t>RECOMMENDED TIER</t>
        </is>
      </c>
      <c r="B23" s="5" t="n"/>
    </row>
    <row r="24">
      <c r="A24" s="2" t="inlineStr">
        <is>
          <t>Based on hours:</t>
        </is>
      </c>
      <c r="B24" s="14">
        <f>IF(B14&lt;=12,"Tier 1 — Essentials",IF(B14&lt;=22,"Tier 2 — Growth",IF(B14&lt;=40,"Tier 3 — Scale","Tier 4 — Enterprise")))</f>
        <v/>
      </c>
    </row>
    <row r="26">
      <c r="A26" s="4" t="inlineStr">
        <is>
          <t>PROFITABILITY ANALYSIS</t>
        </is>
      </c>
      <c r="B26" s="5" t="n"/>
      <c r="C26" s="5" t="n"/>
    </row>
    <row r="27">
      <c r="A27" s="2" t="inlineStr">
        <is>
          <t>Projected Revenue (Recommended Tier):</t>
        </is>
      </c>
      <c r="B27" s="15">
        <f>IF(B14&lt;=12,SETTINGS!B9,IF(B14&lt;=22,SETTINGS!B10,IF(B14&lt;=40,SETTINGS!B11,SETTINGS!B12)))</f>
        <v/>
      </c>
    </row>
    <row r="28">
      <c r="A28" s="2" t="inlineStr">
        <is>
          <t>Total Cost (hours × rate):</t>
        </is>
      </c>
      <c r="B28" s="15">
        <f>B14*SETTINGS!B3</f>
        <v/>
      </c>
    </row>
    <row r="29">
      <c r="A29" s="2" t="inlineStr">
        <is>
          <t>Monthly Profit:</t>
        </is>
      </c>
      <c r="B29" s="16">
        <f>B27-B28</f>
        <v/>
      </c>
    </row>
    <row r="30">
      <c r="A30" s="2" t="inlineStr">
        <is>
          <t>Margin %:</t>
        </is>
      </c>
      <c r="B30" s="17">
        <f>IF(B27=0,0,B29/B27)</f>
        <v/>
      </c>
    </row>
  </sheetData>
  <mergeCells count="1">
    <mergeCell ref="A1:D1"/>
  </mergeCells>
  <conditionalFormatting sqref="D18">
    <cfRule type="cellIs" priority="1" operator="greaterThanOrEqual" dxfId="0">
      <formula>SETTINGS!B5</formula>
    </cfRule>
    <cfRule type="cellIs" priority="2" operator="lessThan" dxfId="1">
      <formula>SETTINGS!B5</formula>
    </cfRule>
  </conditionalFormatting>
  <conditionalFormatting sqref="D19">
    <cfRule type="cellIs" priority="3" operator="greaterThanOrEqual" dxfId="0">
      <formula>SETTINGS!B5</formula>
    </cfRule>
    <cfRule type="cellIs" priority="4" operator="lessThan" dxfId="1">
      <formula>SETTINGS!B5</formula>
    </cfRule>
  </conditionalFormatting>
  <conditionalFormatting sqref="D20">
    <cfRule type="cellIs" priority="5" operator="greaterThanOrEqual" dxfId="0">
      <formula>SETTINGS!B5</formula>
    </cfRule>
    <cfRule type="cellIs" priority="6" operator="lessThan" dxfId="1">
      <formula>SETTINGS!B5</formula>
    </cfRule>
  </conditionalFormatting>
  <conditionalFormatting sqref="D21">
    <cfRule type="cellIs" priority="7" operator="greaterThanOrEqual" dxfId="0">
      <formula>SETTINGS!B5</formula>
    </cfRule>
    <cfRule type="cellIs" priority="8" operator="lessThan" dxfId="1">
      <formula>SETTINGS!B5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3A5C"/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8" t="inlineStr">
        <is>
          <t>PRICING SETTINGS</t>
        </is>
      </c>
    </row>
    <row r="3">
      <c r="A3" s="10" t="inlineStr">
        <is>
          <t>Internal Cost Rate ($/hr)</t>
        </is>
      </c>
      <c r="B3" s="12" t="n">
        <v>75</v>
      </c>
    </row>
    <row r="4">
      <c r="A4" s="10" t="inlineStr">
        <is>
          <t>Target Utilization %</t>
        </is>
      </c>
      <c r="B4" s="13" t="n">
        <v>0.8</v>
      </c>
    </row>
    <row r="5">
      <c r="A5" s="10" t="inlineStr">
        <is>
          <t>Target Margin %</t>
        </is>
      </c>
      <c r="B5" s="13" t="n">
        <v>0.5</v>
      </c>
    </row>
    <row r="7">
      <c r="A7" s="4" t="inlineStr">
        <is>
          <t>TIER PRICING</t>
        </is>
      </c>
      <c r="B7" s="5" t="n"/>
      <c r="C7" s="5" t="n"/>
    </row>
    <row r="8" ht="20" customHeight="1">
      <c r="A8" s="6" t="inlineStr">
        <is>
          <t>Tier</t>
        </is>
      </c>
      <c r="B8" s="6" t="inlineStr">
        <is>
          <t>Monthly Price</t>
        </is>
      </c>
      <c r="C8" s="6" t="inlineStr">
        <is>
          <t>Max Hours</t>
        </is>
      </c>
    </row>
    <row r="9">
      <c r="A9" s="10" t="inlineStr">
        <is>
          <t>Tier 1 — Essentials</t>
        </is>
      </c>
      <c r="B9" s="11" t="n">
        <v>1500</v>
      </c>
      <c r="C9" s="19" t="n">
        <v>12</v>
      </c>
    </row>
    <row r="10">
      <c r="A10" s="10" t="inlineStr">
        <is>
          <t>Tier 2 — Growth</t>
        </is>
      </c>
      <c r="B10" s="11" t="n">
        <v>2500</v>
      </c>
      <c r="C10" s="19" t="n">
        <v>22</v>
      </c>
    </row>
    <row r="11">
      <c r="A11" s="10" t="inlineStr">
        <is>
          <t>Tier 3 — Scale</t>
        </is>
      </c>
      <c r="B11" s="11" t="n">
        <v>5000</v>
      </c>
      <c r="C11" s="19" t="n">
        <v>40</v>
      </c>
    </row>
    <row r="12">
      <c r="A12" s="10" t="inlineStr">
        <is>
          <t>Tier 4 — Enterprise</t>
        </is>
      </c>
      <c r="B12" s="11" t="n">
        <v>7500</v>
      </c>
      <c r="C12" s="19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963B"/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TIER COMPARISON</t>
        </is>
      </c>
    </row>
    <row r="3" ht="20" customHeight="1">
      <c r="A3" s="6" t="inlineStr"/>
      <c r="B3" s="6" t="inlineStr">
        <is>
          <t>Tier 1</t>
        </is>
      </c>
      <c r="C3" s="6" t="inlineStr">
        <is>
          <t>Tier 2</t>
        </is>
      </c>
      <c r="D3" s="6" t="inlineStr">
        <is>
          <t>Tier 3</t>
        </is>
      </c>
      <c r="E3" s="6" t="inlineStr">
        <is>
          <t>Tier 4</t>
        </is>
      </c>
    </row>
    <row r="4">
      <c r="A4" s="10" t="inlineStr">
        <is>
          <t>Monthly Price</t>
        </is>
      </c>
      <c r="B4" s="11">
        <f>SETTINGS!B9</f>
        <v/>
      </c>
      <c r="C4" s="11">
        <f>SETTINGS!B10</f>
        <v/>
      </c>
      <c r="D4" s="11">
        <f>SETTINGS!B11</f>
        <v/>
      </c>
      <c r="E4" s="11">
        <f>SETTINGS!B12</f>
        <v/>
      </c>
    </row>
    <row r="5">
      <c r="A5" s="10" t="inlineStr">
        <is>
          <t>Included Hours</t>
        </is>
      </c>
      <c r="B5" s="19">
        <f>SETTINGS!C9</f>
        <v/>
      </c>
      <c r="C5" s="19">
        <f>SETTINGS!C10</f>
        <v/>
      </c>
      <c r="D5" s="19">
        <f>SETTINGS!C11</f>
        <v/>
      </c>
      <c r="E5" s="19">
        <f>SETTINGS!C12</f>
        <v/>
      </c>
    </row>
    <row r="6">
      <c r="A6" s="10" t="inlineStr">
        <is>
          <t>Effective Rate</t>
        </is>
      </c>
      <c r="B6" s="12">
        <f>IF(B5=0,0,B4/B5)</f>
        <v/>
      </c>
      <c r="C6" s="12">
        <f>IF(C5=0,0,C4/C5)</f>
        <v/>
      </c>
      <c r="D6" s="12">
        <f>IF(D5=0,0,D4/D5)</f>
        <v/>
      </c>
      <c r="E6" s="12">
        <f>IF(E5=0,0,E4/E5)</f>
        <v/>
      </c>
    </row>
    <row r="7">
      <c r="A7" s="10" t="inlineStr">
        <is>
          <t>Internal Cost</t>
        </is>
      </c>
      <c r="B7" s="11">
        <f>B5*SETTINGS!B3</f>
        <v/>
      </c>
      <c r="C7" s="11">
        <f>C5*SETTINGS!B3</f>
        <v/>
      </c>
      <c r="D7" s="11">
        <f>D5*SETTINGS!B3</f>
        <v/>
      </c>
      <c r="E7" s="11">
        <f>E5*SETTINGS!B3</f>
        <v/>
      </c>
    </row>
    <row r="8">
      <c r="A8" s="10" t="inlineStr">
        <is>
          <t>Monthly Profit</t>
        </is>
      </c>
      <c r="B8" s="11">
        <f>B4-B7</f>
        <v/>
      </c>
      <c r="C8" s="11">
        <f>C4-C7</f>
        <v/>
      </c>
      <c r="D8" s="11">
        <f>D4-D7</f>
        <v/>
      </c>
      <c r="E8" s="11">
        <f>E4-E7</f>
        <v/>
      </c>
    </row>
    <row r="9">
      <c r="A9" s="10" t="inlineStr">
        <is>
          <t>Margin %</t>
        </is>
      </c>
      <c r="B9" s="13">
        <f>IF(B4=0,0,B8/B4)</f>
        <v/>
      </c>
      <c r="C9" s="13">
        <f>IF(C4=0,0,C8/C4)</f>
        <v/>
      </c>
      <c r="D9" s="13">
        <f>IF(D4=0,0,D8/D4)</f>
        <v/>
      </c>
      <c r="E9" s="13">
        <f>IF(E4=0,0,E8/E4)</f>
        <v/>
      </c>
    </row>
    <row r="11">
      <c r="A11" s="4" t="inlineStr">
        <is>
          <t>BREAK-EVEN ANALYSIS</t>
        </is>
      </c>
      <c r="B11" s="5" t="n"/>
      <c r="C11" s="5" t="n"/>
      <c r="D11" s="5" t="n"/>
      <c r="E11" s="5" t="n"/>
    </row>
    <row r="12">
      <c r="A12" s="2" t="inlineStr">
        <is>
          <t>Break-even Hours</t>
        </is>
      </c>
      <c r="B12" s="7">
        <f>IF(SETTINGS!B3=0,0,B4/SETTINGS!B3)</f>
        <v/>
      </c>
      <c r="C12" s="7">
        <f>IF(SETTINGS!B3=0,0,C4/SETTINGS!B3)</f>
        <v/>
      </c>
      <c r="D12" s="7">
        <f>IF(SETTINGS!B3=0,0,D4/SETTINGS!B3)</f>
        <v/>
      </c>
      <c r="E12" s="7">
        <f>IF(SETTINGS!B3=0,0,E4/SETTINGS!B3)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2026-03-12T20:07:49Z</dcterms:created>
  <dcterms:modified xmlns:dcterms="http://purl.org/dc/terms/" xmlns:xsi="http://www.w3.org/2001/XMLSchema-instance" xsi:type="dcterms:W3CDTF">2026-03-12T20:07:49Z</dcterms:modified>
</cp:coreProperties>
</file>